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ert Register" sheetId="1" state="visible" r:id="rId1"/>
    <sheet xmlns:r="http://schemas.openxmlformats.org/officeDocument/2006/relationships" name="Dashboard" sheetId="2" state="visible" r:id="rId2"/>
  </sheets>
  <definedNames>
    <definedName name="_xlnm._FilterDatabase" localSheetId="0" hidden="1">'Alert Register'!$A$3:$N$7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sz val="18"/>
    </font>
    <font>
      <b val="1"/>
      <color rgb="00FFFFFF"/>
      <sz val="18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5B9BD5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2" fillId="2" borderId="0" pivotButton="0" quotePrefix="0" xfId="0"/>
    <xf numFmtId="0" fontId="4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23" customWidth="1" min="5" max="5"/>
    <col width="17" customWidth="1" min="6" max="6"/>
    <col width="15" customWidth="1" min="7" max="7"/>
    <col width="15" customWidth="1" min="8" max="8"/>
    <col width="19" customWidth="1" min="9" max="9"/>
    <col width="15" customWidth="1" min="10" max="10"/>
    <col width="15" customWidth="1" min="11" max="11"/>
    <col width="30" customWidth="1" min="12" max="12"/>
    <col width="20" customWidth="1" min="13" max="13"/>
    <col width="21" customWidth="1" min="14" max="14"/>
  </cols>
  <sheetData>
    <row r="1">
      <c r="A1" s="1" t="inlineStr">
        <is>
          <t>PRODUCTION STOCK ALERT</t>
        </is>
      </c>
    </row>
    <row r="3">
      <c r="A3" s="2" t="inlineStr">
        <is>
          <t>Alert ID</t>
        </is>
      </c>
      <c r="B3" s="2" t="inlineStr">
        <is>
          <t>Date</t>
        </is>
      </c>
      <c r="C3" s="2" t="inlineStr">
        <is>
          <t>Time</t>
        </is>
      </c>
      <c r="D3" s="2" t="inlineStr">
        <is>
          <t>Product Code</t>
        </is>
      </c>
      <c r="E3" s="2" t="inlineStr">
        <is>
          <t>Product Description</t>
        </is>
      </c>
      <c r="F3" s="2" t="inlineStr">
        <is>
          <t>Production Line</t>
        </is>
      </c>
      <c r="G3" s="2" t="inlineStr">
        <is>
          <t>Current Stock</t>
        </is>
      </c>
      <c r="H3" s="2" t="inlineStr">
        <is>
          <t>Minimum Stock</t>
        </is>
      </c>
      <c r="I3" s="2" t="inlineStr">
        <is>
          <t>Required Quantity</t>
        </is>
      </c>
      <c r="J3" s="2" t="inlineStr">
        <is>
          <t>Priority</t>
        </is>
      </c>
      <c r="K3" s="2" t="inlineStr">
        <is>
          <t>Alert Status</t>
        </is>
      </c>
      <c r="L3" s="2" t="inlineStr">
        <is>
          <t>Action Required</t>
        </is>
      </c>
      <c r="M3" s="2" t="inlineStr">
        <is>
          <t>Responsible</t>
        </is>
      </c>
      <c r="N3" s="2" t="inlineStr">
        <is>
          <t>Comments</t>
        </is>
      </c>
    </row>
    <row r="4">
      <c r="A4" s="3" t="inlineStr">
        <is>
          <t>PA-001</t>
        </is>
      </c>
      <c r="B4" s="4" t="n">
        <v>46283</v>
      </c>
      <c r="C4" s="3" t="inlineStr">
        <is>
          <t>08:30</t>
        </is>
      </c>
      <c r="D4" s="3" t="inlineStr">
        <is>
          <t>RM-1001</t>
        </is>
      </c>
      <c r="E4" s="3" t="inlineStr">
        <is>
          <t>Aluminium Component A</t>
        </is>
      </c>
      <c r="F4" s="3" t="inlineStr">
        <is>
          <t>Line 1</t>
        </is>
      </c>
      <c r="G4" s="3" t="n">
        <v>420</v>
      </c>
      <c r="H4" s="3" t="n">
        <v>500</v>
      </c>
      <c r="I4" s="3" t="n">
        <v>300</v>
      </c>
      <c r="J4" s="3" t="inlineStr">
        <is>
          <t>High</t>
        </is>
      </c>
      <c r="K4" s="3" t="inlineStr">
        <is>
          <t>Open</t>
        </is>
      </c>
      <c r="L4" s="3" t="inlineStr">
        <is>
          <t>Create replenishment request</t>
        </is>
      </c>
      <c r="M4" s="3" t="inlineStr">
        <is>
          <t>Production Planner</t>
        </is>
      </c>
      <c r="N4" s="3" t="inlineStr">
        <is>
          <t>Stock below minimum</t>
        </is>
      </c>
    </row>
    <row r="5">
      <c r="A5" s="3" t="inlineStr">
        <is>
          <t>PA-002</t>
        </is>
      </c>
      <c r="B5" s="4" t="n">
        <v>46283</v>
      </c>
      <c r="C5" s="3" t="inlineStr">
        <is>
          <t>10:15</t>
        </is>
      </c>
      <c r="D5" s="3" t="inlineStr">
        <is>
          <t>RM-1002</t>
        </is>
      </c>
      <c r="E5" s="3" t="inlineStr">
        <is>
          <t>Aluminium Component B</t>
        </is>
      </c>
      <c r="F5" s="3" t="inlineStr">
        <is>
          <t>Line 2</t>
        </is>
      </c>
      <c r="G5" s="3" t="n">
        <v>850</v>
      </c>
      <c r="H5" s="3" t="n">
        <v>700</v>
      </c>
      <c r="I5" s="3" t="n">
        <v>250</v>
      </c>
      <c r="J5" s="3" t="inlineStr">
        <is>
          <t>Medium</t>
        </is>
      </c>
      <c r="K5" s="3" t="inlineStr">
        <is>
          <t>In Progress</t>
        </is>
      </c>
      <c r="L5" s="3" t="inlineStr">
        <is>
          <t>Monitor stock</t>
        </is>
      </c>
      <c r="M5" s="3" t="inlineStr">
        <is>
          <t>Production Planner</t>
        </is>
      </c>
      <c r="N5" s="3" t="inlineStr"/>
    </row>
    <row r="6">
      <c r="A6" s="3" t="inlineStr">
        <is>
          <t>PA-003</t>
        </is>
      </c>
      <c r="B6" s="4" t="n">
        <v>46283</v>
      </c>
      <c r="C6" s="3" t="inlineStr">
        <is>
          <t>14:20</t>
        </is>
      </c>
      <c r="D6" s="3" t="inlineStr">
        <is>
          <t>PK-2001</t>
        </is>
      </c>
      <c r="E6" s="3" t="inlineStr">
        <is>
          <t>Packaging Box</t>
        </is>
      </c>
      <c r="F6" s="3" t="inlineStr">
        <is>
          <t>Line 3</t>
        </is>
      </c>
      <c r="G6" s="3" t="n">
        <v>90</v>
      </c>
      <c r="H6" s="3" t="n">
        <v>200</v>
      </c>
      <c r="I6" s="3" t="n">
        <v>180</v>
      </c>
      <c r="J6" s="3" t="inlineStr">
        <is>
          <t>Critical</t>
        </is>
      </c>
      <c r="K6" s="3" t="inlineStr">
        <is>
          <t>Open</t>
        </is>
      </c>
      <c r="L6" s="3" t="inlineStr">
        <is>
          <t>Immediate escalation</t>
        </is>
      </c>
      <c r="M6" s="3" t="inlineStr">
        <is>
          <t>Production Manager</t>
        </is>
      </c>
      <c r="N6" s="3" t="inlineStr">
        <is>
          <t>Production at risk</t>
        </is>
      </c>
    </row>
    <row r="7">
      <c r="A7" s="3" t="inlineStr">
        <is>
          <t>PA-004</t>
        </is>
      </c>
      <c r="B7" s="4" t="n">
        <v>46282</v>
      </c>
      <c r="C7" s="3" t="inlineStr">
        <is>
          <t>11:00</t>
        </is>
      </c>
      <c r="D7" s="3" t="inlineStr">
        <is>
          <t>RM-1003</t>
        </is>
      </c>
      <c r="E7" s="3" t="inlineStr">
        <is>
          <t>Protective Film</t>
        </is>
      </c>
      <c r="F7" s="3" t="inlineStr">
        <is>
          <t>Line 1</t>
        </is>
      </c>
      <c r="G7" s="3" t="n">
        <v>150</v>
      </c>
      <c r="H7" s="3" t="n">
        <v>250</v>
      </c>
      <c r="I7" s="3" t="n">
        <v>200</v>
      </c>
      <c r="J7" s="3" t="inlineStr">
        <is>
          <t>High</t>
        </is>
      </c>
      <c r="K7" s="3" t="inlineStr">
        <is>
          <t>Resolved</t>
        </is>
      </c>
      <c r="L7" s="3" t="inlineStr">
        <is>
          <t>Replenishment confirmed</t>
        </is>
      </c>
      <c r="M7" s="3" t="inlineStr">
        <is>
          <t>Production Planner</t>
        </is>
      </c>
      <c r="N7" s="3" t="inlineStr"/>
    </row>
  </sheetData>
  <autoFilter ref="A3:N7"/>
  <mergeCells count="1">
    <mergeCell ref="A1:N1"/>
  </mergeCells>
  <conditionalFormatting sqref="G4:G1000">
    <cfRule type="cellIs" priority="1" operator="lessThan" dxfId="0">
      <formula>500</formula>
    </cfRule>
  </conditionalFormatting>
  <dataValidations count="2">
    <dataValidation sqref="J4:J1000" showDropDown="0" showInputMessage="0" showErrorMessage="0" allowBlank="1" type="list">
      <formula1>"Low,Medium,High,Critical"</formula1>
    </dataValidation>
    <dataValidation sqref="K4:K1000" showDropDown="0" showInputMessage="0" showErrorMessage="0" allowBlank="1" type="list">
      <formula1>"Open,In Progress,Resolved"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5" t="inlineStr">
        <is>
          <t>PRODUCTION STOCK ALERT — KPI DASHBOARD</t>
        </is>
      </c>
    </row>
    <row r="3">
      <c r="A3" s="6" t="inlineStr">
        <is>
          <t>Total Alerts</t>
        </is>
      </c>
      <c r="B3" s="7">
        <f>COUNTA('Alert Register'!A4:A1000)</f>
        <v/>
      </c>
    </row>
    <row r="4">
      <c r="A4" s="6" t="inlineStr">
        <is>
          <t>Open Alerts</t>
        </is>
      </c>
      <c r="B4" s="7">
        <f>COUNTIF('Alert Register'!K4:K1000,"Open")</f>
        <v/>
      </c>
    </row>
    <row r="5">
      <c r="A5" s="6" t="inlineStr">
        <is>
          <t>Critical Alerts</t>
        </is>
      </c>
      <c r="B5" s="7">
        <f>COUNTIF('Alert Register'!J4:J1000,"Critical")</f>
        <v/>
      </c>
    </row>
    <row r="6">
      <c r="A6" s="6" t="inlineStr">
        <is>
          <t>Resolved Alerts</t>
        </is>
      </c>
      <c r="B6" s="7">
        <f>COUNTIF('Alert Register'!K4:K1000,"Resolved")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2026-09-18T22:34:23Z</dcterms:created>
  <dcterms:modified xmlns:dcterms="http://purl.org/dc/terms/" xmlns:xsi="http://www.w3.org/2001/XMLSchema-instance" xsi:type="dcterms:W3CDTF">2026-09-18T22:34:23Z</dcterms:modified>
</cp:coreProperties>
</file>