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ert Register" sheetId="1" state="visible" r:id="rId1"/>
    <sheet xmlns:r="http://schemas.openxmlformats.org/officeDocument/2006/relationships" name="Dashboard" sheetId="2" state="visible" r:id="rId2"/>
  </sheets>
  <definedNames>
    <definedName name="_xlnm._FilterDatabase" localSheetId="0" hidden="1">'Alert Register'!$A$3:$O$7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sz val="18"/>
    </font>
    <font>
      <b val="1"/>
      <color rgb="00FFFFFF"/>
      <sz val="18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5B9BD5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2" fillId="2" borderId="0" pivotButton="0" quotePrefix="0" xfId="0"/>
    <xf numFmtId="0" fontId="4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19" customWidth="1" min="5" max="5"/>
    <col width="18" customWidth="1" min="6" max="6"/>
    <col width="19" customWidth="1" min="7" max="7"/>
    <col width="20" customWidth="1" min="8" max="8"/>
    <col width="15" customWidth="1" min="9" max="9"/>
    <col width="23" customWidth="1" min="10" max="10"/>
    <col width="22" customWidth="1" min="11" max="11"/>
    <col width="17" customWidth="1" min="12" max="12"/>
    <col width="15" customWidth="1" min="13" max="13"/>
    <col width="23" customWidth="1" min="14" max="14"/>
    <col width="16" customWidth="1" min="15" max="15"/>
  </cols>
  <sheetData>
    <row r="1">
      <c r="A1" s="1" t="inlineStr">
        <is>
          <t>TRANSPORT &amp; DELIVERY STOCK ALERT</t>
        </is>
      </c>
    </row>
    <row r="3">
      <c r="A3" s="2" t="inlineStr">
        <is>
          <t>Alert ID</t>
        </is>
      </c>
      <c r="B3" s="2" t="inlineStr">
        <is>
          <t>Product Code</t>
        </is>
      </c>
      <c r="C3" s="2" t="inlineStr">
        <is>
          <t>Product Description</t>
        </is>
      </c>
      <c r="D3" s="2" t="inlineStr">
        <is>
          <t>Quantity to Deliver</t>
        </is>
      </c>
      <c r="E3" s="2" t="inlineStr">
        <is>
          <t>Number of Pallets</t>
        </is>
      </c>
      <c r="F3" s="2" t="inlineStr">
        <is>
          <t>Supplier</t>
        </is>
      </c>
      <c r="G3" s="2" t="inlineStr">
        <is>
          <t>Transport Company</t>
        </is>
      </c>
      <c r="H3" s="2" t="inlineStr">
        <is>
          <t>Truck / Vehicle ID</t>
        </is>
      </c>
      <c r="I3" s="2" t="inlineStr">
        <is>
          <t>Loading Date</t>
        </is>
      </c>
      <c r="J3" s="2" t="inlineStr">
        <is>
          <t>Planned Delivery Date</t>
        </is>
      </c>
      <c r="K3" s="2" t="inlineStr">
        <is>
          <t>Actual Delivery Date</t>
        </is>
      </c>
      <c r="L3" s="2" t="inlineStr">
        <is>
          <t>Delivery Status</t>
        </is>
      </c>
      <c r="M3" s="2" t="inlineStr">
        <is>
          <t>Delay (Days)</t>
        </is>
      </c>
      <c r="N3" s="2" t="inlineStr">
        <is>
          <t>Responsible Person</t>
        </is>
      </c>
      <c r="O3" s="2" t="inlineStr">
        <is>
          <t>Comments</t>
        </is>
      </c>
    </row>
    <row r="4">
      <c r="A4" s="3" t="inlineStr">
        <is>
          <t>PA-003</t>
        </is>
      </c>
      <c r="B4" s="3" t="inlineStr">
        <is>
          <t>PK-2001</t>
        </is>
      </c>
      <c r="C4" s="3" t="inlineStr">
        <is>
          <t>Packaging Box</t>
        </is>
      </c>
      <c r="D4" s="3" t="n">
        <v>180</v>
      </c>
      <c r="E4" s="3" t="n">
        <v>6</v>
      </c>
      <c r="F4" s="3" t="inlineStr">
        <is>
          <t>Supplier Alpha</t>
        </is>
      </c>
      <c r="G4" s="3" t="inlineStr">
        <is>
          <t>Transport Co A</t>
        </is>
      </c>
      <c r="H4" s="3" t="inlineStr">
        <is>
          <t>TRK-001</t>
        </is>
      </c>
      <c r="I4" s="4" t="n">
        <v>46284</v>
      </c>
      <c r="J4" s="4" t="n">
        <v>46285</v>
      </c>
      <c r="K4" s="3" t="n"/>
      <c r="L4" s="3" t="inlineStr">
        <is>
          <t>Planned</t>
        </is>
      </c>
      <c r="M4" s="3">
        <f>IF(J4="","",IF(K4&lt;&gt;"",MAX(0,K4-J4),IF(AND(L4&lt;&gt;"Delivered",TODAY()&gt;J4),TODAY()-J4,0)))</f>
        <v/>
      </c>
      <c r="N4" s="3" t="inlineStr">
        <is>
          <t>Transport Coordinator</t>
        </is>
      </c>
      <c r="O4" s="3" t="inlineStr"/>
    </row>
    <row r="5">
      <c r="A5" s="3" t="inlineStr">
        <is>
          <t>PA-004</t>
        </is>
      </c>
      <c r="B5" s="3" t="inlineStr">
        <is>
          <t>RM-1003</t>
        </is>
      </c>
      <c r="C5" s="3" t="inlineStr">
        <is>
          <t>Protective Film</t>
        </is>
      </c>
      <c r="D5" s="3" t="n">
        <v>200</v>
      </c>
      <c r="E5" s="3" t="n">
        <v>7</v>
      </c>
      <c r="F5" s="3" t="inlineStr">
        <is>
          <t>Supplier Gamma</t>
        </is>
      </c>
      <c r="G5" s="3" t="inlineStr">
        <is>
          <t>Transport Co C</t>
        </is>
      </c>
      <c r="H5" s="3" t="inlineStr">
        <is>
          <t>TRK-021</t>
        </is>
      </c>
      <c r="I5" s="4" t="n">
        <v>46283</v>
      </c>
      <c r="J5" s="4" t="n">
        <v>46286</v>
      </c>
      <c r="K5" s="3" t="n"/>
      <c r="L5" s="3" t="inlineStr">
        <is>
          <t>In Transit</t>
        </is>
      </c>
      <c r="M5" s="3">
        <f>IF(J5="","",IF(K5&lt;&gt;"",MAX(0,K5-J5),IF(AND(L5&lt;&gt;"Delivered",TODAY()&gt;J5),TODAY()-J5,0)))</f>
        <v/>
      </c>
      <c r="N5" s="3" t="inlineStr">
        <is>
          <t>Transport Coordinator</t>
        </is>
      </c>
      <c r="O5" s="3" t="inlineStr"/>
    </row>
    <row r="6">
      <c r="A6" s="3" t="inlineStr">
        <is>
          <t>PA-005</t>
        </is>
      </c>
      <c r="B6" s="3" t="inlineStr">
        <is>
          <t>RM-1005</t>
        </is>
      </c>
      <c r="C6" s="3" t="inlineStr">
        <is>
          <t>Plastic Tray</t>
        </is>
      </c>
      <c r="D6" s="3" t="n">
        <v>500</v>
      </c>
      <c r="E6" s="3" t="n">
        <v>10</v>
      </c>
      <c r="F6" s="3" t="inlineStr">
        <is>
          <t>Supplier Delta</t>
        </is>
      </c>
      <c r="G6" s="3" t="inlineStr">
        <is>
          <t>Transport Co D</t>
        </is>
      </c>
      <c r="H6" s="3" t="inlineStr">
        <is>
          <t>TRK-033</t>
        </is>
      </c>
      <c r="I6" s="4" t="n">
        <v>46280</v>
      </c>
      <c r="J6" s="4" t="n">
        <v>46282</v>
      </c>
      <c r="K6" s="4" t="n">
        <v>46283</v>
      </c>
      <c r="L6" s="3" t="inlineStr">
        <is>
          <t>Delivered</t>
        </is>
      </c>
      <c r="M6" s="3">
        <f>IF(J6="","",IF(K6&lt;&gt;"",MAX(0,K6-J6),IF(AND(L6&lt;&gt;"Delivered",TODAY()&gt;J6),TODAY()-J6,0)))</f>
        <v/>
      </c>
      <c r="N6" s="3" t="inlineStr">
        <is>
          <t>Transport Coordinator</t>
        </is>
      </c>
      <c r="O6" s="3" t="inlineStr">
        <is>
          <t>Delivered late</t>
        </is>
      </c>
    </row>
    <row r="7">
      <c r="A7" s="3" t="inlineStr">
        <is>
          <t>PA-006</t>
        </is>
      </c>
      <c r="B7" s="3" t="inlineStr">
        <is>
          <t>RM-1006</t>
        </is>
      </c>
      <c r="C7" s="3" t="inlineStr">
        <is>
          <t>Steel Bracket</t>
        </is>
      </c>
      <c r="D7" s="3" t="n">
        <v>400</v>
      </c>
      <c r="E7" s="3" t="n">
        <v>8</v>
      </c>
      <c r="F7" s="3" t="inlineStr">
        <is>
          <t>Supplier Epsilon</t>
        </is>
      </c>
      <c r="G7" s="3" t="inlineStr">
        <is>
          <t>Transport Co B</t>
        </is>
      </c>
      <c r="H7" s="3" t="inlineStr">
        <is>
          <t>TRK-018</t>
        </is>
      </c>
      <c r="I7" s="4" t="n">
        <v>46282</v>
      </c>
      <c r="J7" s="4" t="n">
        <v>46283</v>
      </c>
      <c r="K7" s="3" t="n"/>
      <c r="L7" s="3" t="inlineStr">
        <is>
          <t>Delayed</t>
        </is>
      </c>
      <c r="M7" s="3">
        <f>IF(J7="","",IF(K7&lt;&gt;"",MAX(0,K7-J7),IF(AND(L7&lt;&gt;"Delivered",TODAY()&gt;J7),TODAY()-J7,0)))</f>
        <v/>
      </c>
      <c r="N7" s="3" t="inlineStr">
        <is>
          <t>Transport Coordinator</t>
        </is>
      </c>
      <c r="O7" s="3" t="inlineStr">
        <is>
          <t>Vehicle delay</t>
        </is>
      </c>
    </row>
    <row r="8">
      <c r="M8">
        <f>IF(J8="","",IF(K8&lt;&gt;"",MAX(0,K8-J8),IF(AND(L8&lt;&gt;"Delivered",TODAY()&gt;J8),TODAY()-J8,0)))</f>
        <v/>
      </c>
    </row>
    <row r="9">
      <c r="M9">
        <f>IF(J9="","",IF(K9&lt;&gt;"",MAX(0,K9-J9),IF(AND(L9&lt;&gt;"Delivered",TODAY()&gt;J9),TODAY()-J9,0)))</f>
        <v/>
      </c>
    </row>
    <row r="10">
      <c r="M10">
        <f>IF(J10="","",IF(K10&lt;&gt;"",MAX(0,K10-J10),IF(AND(L10&lt;&gt;"Delivered",TODAY()&gt;J10),TODAY()-J10,0)))</f>
        <v/>
      </c>
    </row>
    <row r="11">
      <c r="M11">
        <f>IF(J11="","",IF(K11&lt;&gt;"",MAX(0,K11-J11),IF(AND(L11&lt;&gt;"Delivered",TODAY()&gt;J11),TODAY()-J11,0)))</f>
        <v/>
      </c>
    </row>
    <row r="12">
      <c r="M12">
        <f>IF(J12="","",IF(K12&lt;&gt;"",MAX(0,K12-J12),IF(AND(L12&lt;&gt;"Delivered",TODAY()&gt;J12),TODAY()-J12,0)))</f>
        <v/>
      </c>
    </row>
    <row r="13">
      <c r="M13">
        <f>IF(J13="","",IF(K13&lt;&gt;"",MAX(0,K13-J13),IF(AND(L13&lt;&gt;"Delivered",TODAY()&gt;J13),TODAY()-J13,0)))</f>
        <v/>
      </c>
    </row>
    <row r="14">
      <c r="M14">
        <f>IF(J14="","",IF(K14&lt;&gt;"",MAX(0,K14-J14),IF(AND(L14&lt;&gt;"Delivered",TODAY()&gt;J14),TODAY()-J14,0)))</f>
        <v/>
      </c>
    </row>
    <row r="15">
      <c r="M15">
        <f>IF(J15="","",IF(K15&lt;&gt;"",MAX(0,K15-J15),IF(AND(L15&lt;&gt;"Delivered",TODAY()&gt;J15),TODAY()-J15,0)))</f>
        <v/>
      </c>
    </row>
    <row r="16">
      <c r="M16">
        <f>IF(J16="","",IF(K16&lt;&gt;"",MAX(0,K16-J16),IF(AND(L16&lt;&gt;"Delivered",TODAY()&gt;J16),TODAY()-J16,0)))</f>
        <v/>
      </c>
    </row>
    <row r="17">
      <c r="M17">
        <f>IF(J17="","",IF(K17&lt;&gt;"",MAX(0,K17-J17),IF(AND(L17&lt;&gt;"Delivered",TODAY()&gt;J17),TODAY()-J17,0)))</f>
        <v/>
      </c>
    </row>
    <row r="18">
      <c r="M18">
        <f>IF(J18="","",IF(K18&lt;&gt;"",MAX(0,K18-J18),IF(AND(L18&lt;&gt;"Delivered",TODAY()&gt;J18),TODAY()-J18,0)))</f>
        <v/>
      </c>
    </row>
    <row r="19">
      <c r="M19">
        <f>IF(J19="","",IF(K19&lt;&gt;"",MAX(0,K19-J19),IF(AND(L19&lt;&gt;"Delivered",TODAY()&gt;J19),TODAY()-J19,0)))</f>
        <v/>
      </c>
    </row>
    <row r="20">
      <c r="M20">
        <f>IF(J20="","",IF(K20&lt;&gt;"",MAX(0,K20-J20),IF(AND(L20&lt;&gt;"Delivered",TODAY()&gt;J20),TODAY()-J20,0)))</f>
        <v/>
      </c>
    </row>
    <row r="21">
      <c r="M21">
        <f>IF(J21="","",IF(K21&lt;&gt;"",MAX(0,K21-J21),IF(AND(L21&lt;&gt;"Delivered",TODAY()&gt;J21),TODAY()-J21,0)))</f>
        <v/>
      </c>
    </row>
    <row r="22">
      <c r="M22">
        <f>IF(J22="","",IF(K22&lt;&gt;"",MAX(0,K22-J22),IF(AND(L22&lt;&gt;"Delivered",TODAY()&gt;J22),TODAY()-J22,0)))</f>
        <v/>
      </c>
    </row>
    <row r="23">
      <c r="M23">
        <f>IF(J23="","",IF(K23&lt;&gt;"",MAX(0,K23-J23),IF(AND(L23&lt;&gt;"Delivered",TODAY()&gt;J23),TODAY()-J23,0)))</f>
        <v/>
      </c>
    </row>
    <row r="24">
      <c r="M24">
        <f>IF(J24="","",IF(K24&lt;&gt;"",MAX(0,K24-J24),IF(AND(L24&lt;&gt;"Delivered",TODAY()&gt;J24),TODAY()-J24,0)))</f>
        <v/>
      </c>
    </row>
    <row r="25">
      <c r="M25">
        <f>IF(J25="","",IF(K25&lt;&gt;"",MAX(0,K25-J25),IF(AND(L25&lt;&gt;"Delivered",TODAY()&gt;J25),TODAY()-J25,0)))</f>
        <v/>
      </c>
    </row>
    <row r="26">
      <c r="M26">
        <f>IF(J26="","",IF(K26&lt;&gt;"",MAX(0,K26-J26),IF(AND(L26&lt;&gt;"Delivered",TODAY()&gt;J26),TODAY()-J26,0)))</f>
        <v/>
      </c>
    </row>
    <row r="27">
      <c r="M27">
        <f>IF(J27="","",IF(K27&lt;&gt;"",MAX(0,K27-J27),IF(AND(L27&lt;&gt;"Delivered",TODAY()&gt;J27),TODAY()-J27,0)))</f>
        <v/>
      </c>
    </row>
    <row r="28">
      <c r="M28">
        <f>IF(J28="","",IF(K28&lt;&gt;"",MAX(0,K28-J28),IF(AND(L28&lt;&gt;"Delivered",TODAY()&gt;J28),TODAY()-J28,0)))</f>
        <v/>
      </c>
    </row>
    <row r="29">
      <c r="M29">
        <f>IF(J29="","",IF(K29&lt;&gt;"",MAX(0,K29-J29),IF(AND(L29&lt;&gt;"Delivered",TODAY()&gt;J29),TODAY()-J29,0)))</f>
        <v/>
      </c>
    </row>
    <row r="30">
      <c r="M30">
        <f>IF(J30="","",IF(K30&lt;&gt;"",MAX(0,K30-J30),IF(AND(L30&lt;&gt;"Delivered",TODAY()&gt;J30),TODAY()-J30,0)))</f>
        <v/>
      </c>
    </row>
    <row r="31">
      <c r="M31">
        <f>IF(J31="","",IF(K31&lt;&gt;"",MAX(0,K31-J31),IF(AND(L31&lt;&gt;"Delivered",TODAY()&gt;J31),TODAY()-J31,0)))</f>
        <v/>
      </c>
    </row>
    <row r="32">
      <c r="M32">
        <f>IF(J32="","",IF(K32&lt;&gt;"",MAX(0,K32-J32),IF(AND(L32&lt;&gt;"Delivered",TODAY()&gt;J32),TODAY()-J32,0)))</f>
        <v/>
      </c>
    </row>
    <row r="33">
      <c r="M33">
        <f>IF(J33="","",IF(K33&lt;&gt;"",MAX(0,K33-J33),IF(AND(L33&lt;&gt;"Delivered",TODAY()&gt;J33),TODAY()-J33,0)))</f>
        <v/>
      </c>
    </row>
    <row r="34">
      <c r="M34">
        <f>IF(J34="","",IF(K34&lt;&gt;"",MAX(0,K34-J34),IF(AND(L34&lt;&gt;"Delivered",TODAY()&gt;J34),TODAY()-J34,0)))</f>
        <v/>
      </c>
    </row>
    <row r="35">
      <c r="M35">
        <f>IF(J35="","",IF(K35&lt;&gt;"",MAX(0,K35-J35),IF(AND(L35&lt;&gt;"Delivered",TODAY()&gt;J35),TODAY()-J35,0)))</f>
        <v/>
      </c>
    </row>
    <row r="36">
      <c r="M36">
        <f>IF(J36="","",IF(K36&lt;&gt;"",MAX(0,K36-J36),IF(AND(L36&lt;&gt;"Delivered",TODAY()&gt;J36),TODAY()-J36,0)))</f>
        <v/>
      </c>
    </row>
    <row r="37">
      <c r="M37">
        <f>IF(J37="","",IF(K37&lt;&gt;"",MAX(0,K37-J37),IF(AND(L37&lt;&gt;"Delivered",TODAY()&gt;J37),TODAY()-J37,0)))</f>
        <v/>
      </c>
    </row>
    <row r="38">
      <c r="M38">
        <f>IF(J38="","",IF(K38&lt;&gt;"",MAX(0,K38-J38),IF(AND(L38&lt;&gt;"Delivered",TODAY()&gt;J38),TODAY()-J38,0)))</f>
        <v/>
      </c>
    </row>
    <row r="39">
      <c r="M39">
        <f>IF(J39="","",IF(K39&lt;&gt;"",MAX(0,K39-J39),IF(AND(L39&lt;&gt;"Delivered",TODAY()&gt;J39),TODAY()-J39,0)))</f>
        <v/>
      </c>
    </row>
    <row r="40">
      <c r="M40">
        <f>IF(J40="","",IF(K40&lt;&gt;"",MAX(0,K40-J40),IF(AND(L40&lt;&gt;"Delivered",TODAY()&gt;J40),TODAY()-J40,0)))</f>
        <v/>
      </c>
    </row>
    <row r="41">
      <c r="M41">
        <f>IF(J41="","",IF(K41&lt;&gt;"",MAX(0,K41-J41),IF(AND(L41&lt;&gt;"Delivered",TODAY()&gt;J41),TODAY()-J41,0)))</f>
        <v/>
      </c>
    </row>
    <row r="42">
      <c r="M42">
        <f>IF(J42="","",IF(K42&lt;&gt;"",MAX(0,K42-J42),IF(AND(L42&lt;&gt;"Delivered",TODAY()&gt;J42),TODAY()-J42,0)))</f>
        <v/>
      </c>
    </row>
    <row r="43">
      <c r="M43">
        <f>IF(J43="","",IF(K43&lt;&gt;"",MAX(0,K43-J43),IF(AND(L43&lt;&gt;"Delivered",TODAY()&gt;J43),TODAY()-J43,0)))</f>
        <v/>
      </c>
    </row>
    <row r="44">
      <c r="M44">
        <f>IF(J44="","",IF(K44&lt;&gt;"",MAX(0,K44-J44),IF(AND(L44&lt;&gt;"Delivered",TODAY()&gt;J44),TODAY()-J44,0)))</f>
        <v/>
      </c>
    </row>
    <row r="45">
      <c r="M45">
        <f>IF(J45="","",IF(K45&lt;&gt;"",MAX(0,K45-J45),IF(AND(L45&lt;&gt;"Delivered",TODAY()&gt;J45),TODAY()-J45,0)))</f>
        <v/>
      </c>
    </row>
    <row r="46">
      <c r="M46">
        <f>IF(J46="","",IF(K46&lt;&gt;"",MAX(0,K46-J46),IF(AND(L46&lt;&gt;"Delivered",TODAY()&gt;J46),TODAY()-J46,0)))</f>
        <v/>
      </c>
    </row>
    <row r="47">
      <c r="M47">
        <f>IF(J47="","",IF(K47&lt;&gt;"",MAX(0,K47-J47),IF(AND(L47&lt;&gt;"Delivered",TODAY()&gt;J47),TODAY()-J47,0)))</f>
        <v/>
      </c>
    </row>
    <row r="48">
      <c r="M48">
        <f>IF(J48="","",IF(K48&lt;&gt;"",MAX(0,K48-J48),IF(AND(L48&lt;&gt;"Delivered",TODAY()&gt;J48),TODAY()-J48,0)))</f>
        <v/>
      </c>
    </row>
    <row r="49">
      <c r="M49">
        <f>IF(J49="","",IF(K49&lt;&gt;"",MAX(0,K49-J49),IF(AND(L49&lt;&gt;"Delivered",TODAY()&gt;J49),TODAY()-J49,0)))</f>
        <v/>
      </c>
    </row>
    <row r="50">
      <c r="M50">
        <f>IF(J50="","",IF(K50&lt;&gt;"",MAX(0,K50-J50),IF(AND(L50&lt;&gt;"Delivered",TODAY()&gt;J50),TODAY()-J50,0)))</f>
        <v/>
      </c>
    </row>
    <row r="51">
      <c r="M51">
        <f>IF(J51="","",IF(K51&lt;&gt;"",MAX(0,K51-J51),IF(AND(L51&lt;&gt;"Delivered",TODAY()&gt;J51),TODAY()-J51,0)))</f>
        <v/>
      </c>
    </row>
    <row r="52">
      <c r="M52">
        <f>IF(J52="","",IF(K52&lt;&gt;"",MAX(0,K52-J52),IF(AND(L52&lt;&gt;"Delivered",TODAY()&gt;J52),TODAY()-J52,0)))</f>
        <v/>
      </c>
    </row>
    <row r="53">
      <c r="M53">
        <f>IF(J53="","",IF(K53&lt;&gt;"",MAX(0,K53-J53),IF(AND(L53&lt;&gt;"Delivered",TODAY()&gt;J53),TODAY()-J53,0)))</f>
        <v/>
      </c>
    </row>
    <row r="54">
      <c r="M54">
        <f>IF(J54="","",IF(K54&lt;&gt;"",MAX(0,K54-J54),IF(AND(L54&lt;&gt;"Delivered",TODAY()&gt;J54),TODAY()-J54,0)))</f>
        <v/>
      </c>
    </row>
    <row r="55">
      <c r="M55">
        <f>IF(J55="","",IF(K55&lt;&gt;"",MAX(0,K55-J55),IF(AND(L55&lt;&gt;"Delivered",TODAY()&gt;J55),TODAY()-J55,0)))</f>
        <v/>
      </c>
    </row>
    <row r="56">
      <c r="M56">
        <f>IF(J56="","",IF(K56&lt;&gt;"",MAX(0,K56-J56),IF(AND(L56&lt;&gt;"Delivered",TODAY()&gt;J56),TODAY()-J56,0)))</f>
        <v/>
      </c>
    </row>
    <row r="57">
      <c r="M57">
        <f>IF(J57="","",IF(K57&lt;&gt;"",MAX(0,K57-J57),IF(AND(L57&lt;&gt;"Delivered",TODAY()&gt;J57),TODAY()-J57,0)))</f>
        <v/>
      </c>
    </row>
    <row r="58">
      <c r="M58">
        <f>IF(J58="","",IF(K58&lt;&gt;"",MAX(0,K58-J58),IF(AND(L58&lt;&gt;"Delivered",TODAY()&gt;J58),TODAY()-J58,0)))</f>
        <v/>
      </c>
    </row>
    <row r="59">
      <c r="M59">
        <f>IF(J59="","",IF(K59&lt;&gt;"",MAX(0,K59-J59),IF(AND(L59&lt;&gt;"Delivered",TODAY()&gt;J59),TODAY()-J59,0)))</f>
        <v/>
      </c>
    </row>
    <row r="60">
      <c r="M60">
        <f>IF(J60="","",IF(K60&lt;&gt;"",MAX(0,K60-J60),IF(AND(L60&lt;&gt;"Delivered",TODAY()&gt;J60),TODAY()-J60,0)))</f>
        <v/>
      </c>
    </row>
    <row r="61">
      <c r="M61">
        <f>IF(J61="","",IF(K61&lt;&gt;"",MAX(0,K61-J61),IF(AND(L61&lt;&gt;"Delivered",TODAY()&gt;J61),TODAY()-J61,0)))</f>
        <v/>
      </c>
    </row>
    <row r="62">
      <c r="M62">
        <f>IF(J62="","",IF(K62&lt;&gt;"",MAX(0,K62-J62),IF(AND(L62&lt;&gt;"Delivered",TODAY()&gt;J62),TODAY()-J62,0)))</f>
        <v/>
      </c>
    </row>
    <row r="63">
      <c r="M63">
        <f>IF(J63="","",IF(K63&lt;&gt;"",MAX(0,K63-J63),IF(AND(L63&lt;&gt;"Delivered",TODAY()&gt;J63),TODAY()-J63,0)))</f>
        <v/>
      </c>
    </row>
    <row r="64">
      <c r="M64">
        <f>IF(J64="","",IF(K64&lt;&gt;"",MAX(0,K64-J64),IF(AND(L64&lt;&gt;"Delivered",TODAY()&gt;J64),TODAY()-J64,0)))</f>
        <v/>
      </c>
    </row>
    <row r="65">
      <c r="M65">
        <f>IF(J65="","",IF(K65&lt;&gt;"",MAX(0,K65-J65),IF(AND(L65&lt;&gt;"Delivered",TODAY()&gt;J65),TODAY()-J65,0)))</f>
        <v/>
      </c>
    </row>
    <row r="66">
      <c r="M66">
        <f>IF(J66="","",IF(K66&lt;&gt;"",MAX(0,K66-J66),IF(AND(L66&lt;&gt;"Delivered",TODAY()&gt;J66),TODAY()-J66,0)))</f>
        <v/>
      </c>
    </row>
    <row r="67">
      <c r="M67">
        <f>IF(J67="","",IF(K67&lt;&gt;"",MAX(0,K67-J67),IF(AND(L67&lt;&gt;"Delivered",TODAY()&gt;J67),TODAY()-J67,0)))</f>
        <v/>
      </c>
    </row>
    <row r="68">
      <c r="M68">
        <f>IF(J68="","",IF(K68&lt;&gt;"",MAX(0,K68-J68),IF(AND(L68&lt;&gt;"Delivered",TODAY()&gt;J68),TODAY()-J68,0)))</f>
        <v/>
      </c>
    </row>
    <row r="69">
      <c r="M69">
        <f>IF(J69="","",IF(K69&lt;&gt;"",MAX(0,K69-J69),IF(AND(L69&lt;&gt;"Delivered",TODAY()&gt;J69),TODAY()-J69,0)))</f>
        <v/>
      </c>
    </row>
    <row r="70">
      <c r="M70">
        <f>IF(J70="","",IF(K70&lt;&gt;"",MAX(0,K70-J70),IF(AND(L70&lt;&gt;"Delivered",TODAY()&gt;J70),TODAY()-J70,0)))</f>
        <v/>
      </c>
    </row>
    <row r="71">
      <c r="M71">
        <f>IF(J71="","",IF(K71&lt;&gt;"",MAX(0,K71-J71),IF(AND(L71&lt;&gt;"Delivered",TODAY()&gt;J71),TODAY()-J71,0)))</f>
        <v/>
      </c>
    </row>
    <row r="72">
      <c r="M72">
        <f>IF(J72="","",IF(K72&lt;&gt;"",MAX(0,K72-J72),IF(AND(L72&lt;&gt;"Delivered",TODAY()&gt;J72),TODAY()-J72,0)))</f>
        <v/>
      </c>
    </row>
    <row r="73">
      <c r="M73">
        <f>IF(J73="","",IF(K73&lt;&gt;"",MAX(0,K73-J73),IF(AND(L73&lt;&gt;"Delivered",TODAY()&gt;J73),TODAY()-J73,0)))</f>
        <v/>
      </c>
    </row>
    <row r="74">
      <c r="M74">
        <f>IF(J74="","",IF(K74&lt;&gt;"",MAX(0,K74-J74),IF(AND(L74&lt;&gt;"Delivered",TODAY()&gt;J74),TODAY()-J74,0)))</f>
        <v/>
      </c>
    </row>
    <row r="75">
      <c r="M75">
        <f>IF(J75="","",IF(K75&lt;&gt;"",MAX(0,K75-J75),IF(AND(L75&lt;&gt;"Delivered",TODAY()&gt;J75),TODAY()-J75,0)))</f>
        <v/>
      </c>
    </row>
    <row r="76">
      <c r="M76">
        <f>IF(J76="","",IF(K76&lt;&gt;"",MAX(0,K76-J76),IF(AND(L76&lt;&gt;"Delivered",TODAY()&gt;J76),TODAY()-J76,0)))</f>
        <v/>
      </c>
    </row>
    <row r="77">
      <c r="M77">
        <f>IF(J77="","",IF(K77&lt;&gt;"",MAX(0,K77-J77),IF(AND(L77&lt;&gt;"Delivered",TODAY()&gt;J77),TODAY()-J77,0)))</f>
        <v/>
      </c>
    </row>
    <row r="78">
      <c r="M78">
        <f>IF(J78="","",IF(K78&lt;&gt;"",MAX(0,K78-J78),IF(AND(L78&lt;&gt;"Delivered",TODAY()&gt;J78),TODAY()-J78,0)))</f>
        <v/>
      </c>
    </row>
    <row r="79">
      <c r="M79">
        <f>IF(J79="","",IF(K79&lt;&gt;"",MAX(0,K79-J79),IF(AND(L79&lt;&gt;"Delivered",TODAY()&gt;J79),TODAY()-J79,0)))</f>
        <v/>
      </c>
    </row>
    <row r="80">
      <c r="M80">
        <f>IF(J80="","",IF(K80&lt;&gt;"",MAX(0,K80-J80),IF(AND(L80&lt;&gt;"Delivered",TODAY()&gt;J80),TODAY()-J80,0)))</f>
        <v/>
      </c>
    </row>
    <row r="81">
      <c r="M81">
        <f>IF(J81="","",IF(K81&lt;&gt;"",MAX(0,K81-J81),IF(AND(L81&lt;&gt;"Delivered",TODAY()&gt;J81),TODAY()-J81,0)))</f>
        <v/>
      </c>
    </row>
    <row r="82">
      <c r="M82">
        <f>IF(J82="","",IF(K82&lt;&gt;"",MAX(0,K82-J82),IF(AND(L82&lt;&gt;"Delivered",TODAY()&gt;J82),TODAY()-J82,0)))</f>
        <v/>
      </c>
    </row>
    <row r="83">
      <c r="M83">
        <f>IF(J83="","",IF(K83&lt;&gt;"",MAX(0,K83-J83),IF(AND(L83&lt;&gt;"Delivered",TODAY()&gt;J83),TODAY()-J83,0)))</f>
        <v/>
      </c>
    </row>
    <row r="84">
      <c r="M84">
        <f>IF(J84="","",IF(K84&lt;&gt;"",MAX(0,K84-J84),IF(AND(L84&lt;&gt;"Delivered",TODAY()&gt;J84),TODAY()-J84,0)))</f>
        <v/>
      </c>
    </row>
    <row r="85">
      <c r="M85">
        <f>IF(J85="","",IF(K85&lt;&gt;"",MAX(0,K85-J85),IF(AND(L85&lt;&gt;"Delivered",TODAY()&gt;J85),TODAY()-J85,0)))</f>
        <v/>
      </c>
    </row>
    <row r="86">
      <c r="M86">
        <f>IF(J86="","",IF(K86&lt;&gt;"",MAX(0,K86-J86),IF(AND(L86&lt;&gt;"Delivered",TODAY()&gt;J86),TODAY()-J86,0)))</f>
        <v/>
      </c>
    </row>
    <row r="87">
      <c r="M87">
        <f>IF(J87="","",IF(K87&lt;&gt;"",MAX(0,K87-J87),IF(AND(L87&lt;&gt;"Delivered",TODAY()&gt;J87),TODAY()-J87,0)))</f>
        <v/>
      </c>
    </row>
    <row r="88">
      <c r="M88">
        <f>IF(J88="","",IF(K88&lt;&gt;"",MAX(0,K88-J88),IF(AND(L88&lt;&gt;"Delivered",TODAY()&gt;J88),TODAY()-J88,0)))</f>
        <v/>
      </c>
    </row>
    <row r="89">
      <c r="M89">
        <f>IF(J89="","",IF(K89&lt;&gt;"",MAX(0,K89-J89),IF(AND(L89&lt;&gt;"Delivered",TODAY()&gt;J89),TODAY()-J89,0)))</f>
        <v/>
      </c>
    </row>
    <row r="90">
      <c r="M90">
        <f>IF(J90="","",IF(K90&lt;&gt;"",MAX(0,K90-J90),IF(AND(L90&lt;&gt;"Delivered",TODAY()&gt;J90),TODAY()-J90,0)))</f>
        <v/>
      </c>
    </row>
    <row r="91">
      <c r="M91">
        <f>IF(J91="","",IF(K91&lt;&gt;"",MAX(0,K91-J91),IF(AND(L91&lt;&gt;"Delivered",TODAY()&gt;J91),TODAY()-J91,0)))</f>
        <v/>
      </c>
    </row>
    <row r="92">
      <c r="M92">
        <f>IF(J92="","",IF(K92&lt;&gt;"",MAX(0,K92-J92),IF(AND(L92&lt;&gt;"Delivered",TODAY()&gt;J92),TODAY()-J92,0)))</f>
        <v/>
      </c>
    </row>
    <row r="93">
      <c r="M93">
        <f>IF(J93="","",IF(K93&lt;&gt;"",MAX(0,K93-J93),IF(AND(L93&lt;&gt;"Delivered",TODAY()&gt;J93),TODAY()-J93,0)))</f>
        <v/>
      </c>
    </row>
    <row r="94">
      <c r="M94">
        <f>IF(J94="","",IF(K94&lt;&gt;"",MAX(0,K94-J94),IF(AND(L94&lt;&gt;"Delivered",TODAY()&gt;J94),TODAY()-J94,0)))</f>
        <v/>
      </c>
    </row>
    <row r="95">
      <c r="M95">
        <f>IF(J95="","",IF(K95&lt;&gt;"",MAX(0,K95-J95),IF(AND(L95&lt;&gt;"Delivered",TODAY()&gt;J95),TODAY()-J95,0)))</f>
        <v/>
      </c>
    </row>
    <row r="96">
      <c r="M96">
        <f>IF(J96="","",IF(K96&lt;&gt;"",MAX(0,K96-J96),IF(AND(L96&lt;&gt;"Delivered",TODAY()&gt;J96),TODAY()-J96,0)))</f>
        <v/>
      </c>
    </row>
    <row r="97">
      <c r="M97">
        <f>IF(J97="","",IF(K97&lt;&gt;"",MAX(0,K97-J97),IF(AND(L97&lt;&gt;"Delivered",TODAY()&gt;J97),TODAY()-J97,0)))</f>
        <v/>
      </c>
    </row>
    <row r="98">
      <c r="M98">
        <f>IF(J98="","",IF(K98&lt;&gt;"",MAX(0,K98-J98),IF(AND(L98&lt;&gt;"Delivered",TODAY()&gt;J98),TODAY()-J98,0)))</f>
        <v/>
      </c>
    </row>
    <row r="99">
      <c r="M99">
        <f>IF(J99="","",IF(K99&lt;&gt;"",MAX(0,K99-J99),IF(AND(L99&lt;&gt;"Delivered",TODAY()&gt;J99),TODAY()-J99,0)))</f>
        <v/>
      </c>
    </row>
    <row r="100">
      <c r="M100">
        <f>IF(J100="","",IF(K100&lt;&gt;"",MAX(0,K100-J100),IF(AND(L100&lt;&gt;"Delivered",TODAY()&gt;J100),TODAY()-J100,0)))</f>
        <v/>
      </c>
    </row>
    <row r="101">
      <c r="M101">
        <f>IF(J101="","",IF(K101&lt;&gt;"",MAX(0,K101-J101),IF(AND(L101&lt;&gt;"Delivered",TODAY()&gt;J101),TODAY()-J101,0)))</f>
        <v/>
      </c>
    </row>
    <row r="102">
      <c r="M102">
        <f>IF(J102="","",IF(K102&lt;&gt;"",MAX(0,K102-J102),IF(AND(L102&lt;&gt;"Delivered",TODAY()&gt;J102),TODAY()-J102,0)))</f>
        <v/>
      </c>
    </row>
    <row r="103">
      <c r="M103">
        <f>IF(J103="","",IF(K103&lt;&gt;"",MAX(0,K103-J103),IF(AND(L103&lt;&gt;"Delivered",TODAY()&gt;J103),TODAY()-J103,0)))</f>
        <v/>
      </c>
    </row>
    <row r="104">
      <c r="M104">
        <f>IF(J104="","",IF(K104&lt;&gt;"",MAX(0,K104-J104),IF(AND(L104&lt;&gt;"Delivered",TODAY()&gt;J104),TODAY()-J104,0)))</f>
        <v/>
      </c>
    </row>
    <row r="105">
      <c r="M105">
        <f>IF(J105="","",IF(K105&lt;&gt;"",MAX(0,K105-J105),IF(AND(L105&lt;&gt;"Delivered",TODAY()&gt;J105),TODAY()-J105,0)))</f>
        <v/>
      </c>
    </row>
    <row r="106">
      <c r="M106">
        <f>IF(J106="","",IF(K106&lt;&gt;"",MAX(0,K106-J106),IF(AND(L106&lt;&gt;"Delivered",TODAY()&gt;J106),TODAY()-J106,0)))</f>
        <v/>
      </c>
    </row>
    <row r="107">
      <c r="M107">
        <f>IF(J107="","",IF(K107&lt;&gt;"",MAX(0,K107-J107),IF(AND(L107&lt;&gt;"Delivered",TODAY()&gt;J107),TODAY()-J107,0)))</f>
        <v/>
      </c>
    </row>
    <row r="108">
      <c r="M108">
        <f>IF(J108="","",IF(K108&lt;&gt;"",MAX(0,K108-J108),IF(AND(L108&lt;&gt;"Delivered",TODAY()&gt;J108),TODAY()-J108,0)))</f>
        <v/>
      </c>
    </row>
    <row r="109">
      <c r="M109">
        <f>IF(J109="","",IF(K109&lt;&gt;"",MAX(0,K109-J109),IF(AND(L109&lt;&gt;"Delivered",TODAY()&gt;J109),TODAY()-J109,0)))</f>
        <v/>
      </c>
    </row>
    <row r="110">
      <c r="M110">
        <f>IF(J110="","",IF(K110&lt;&gt;"",MAX(0,K110-J110),IF(AND(L110&lt;&gt;"Delivered",TODAY()&gt;J110),TODAY()-J110,0)))</f>
        <v/>
      </c>
    </row>
    <row r="111">
      <c r="M111">
        <f>IF(J111="","",IF(K111&lt;&gt;"",MAX(0,K111-J111),IF(AND(L111&lt;&gt;"Delivered",TODAY()&gt;J111),TODAY()-J111,0)))</f>
        <v/>
      </c>
    </row>
    <row r="112">
      <c r="M112">
        <f>IF(J112="","",IF(K112&lt;&gt;"",MAX(0,K112-J112),IF(AND(L112&lt;&gt;"Delivered",TODAY()&gt;J112),TODAY()-J112,0)))</f>
        <v/>
      </c>
    </row>
    <row r="113">
      <c r="M113">
        <f>IF(J113="","",IF(K113&lt;&gt;"",MAX(0,K113-J113),IF(AND(L113&lt;&gt;"Delivered",TODAY()&gt;J113),TODAY()-J113,0)))</f>
        <v/>
      </c>
    </row>
    <row r="114">
      <c r="M114">
        <f>IF(J114="","",IF(K114&lt;&gt;"",MAX(0,K114-J114),IF(AND(L114&lt;&gt;"Delivered",TODAY()&gt;J114),TODAY()-J114,0)))</f>
        <v/>
      </c>
    </row>
    <row r="115">
      <c r="M115">
        <f>IF(J115="","",IF(K115&lt;&gt;"",MAX(0,K115-J115),IF(AND(L115&lt;&gt;"Delivered",TODAY()&gt;J115),TODAY()-J115,0)))</f>
        <v/>
      </c>
    </row>
    <row r="116">
      <c r="M116">
        <f>IF(J116="","",IF(K116&lt;&gt;"",MAX(0,K116-J116),IF(AND(L116&lt;&gt;"Delivered",TODAY()&gt;J116),TODAY()-J116,0)))</f>
        <v/>
      </c>
    </row>
    <row r="117">
      <c r="M117">
        <f>IF(J117="","",IF(K117&lt;&gt;"",MAX(0,K117-J117),IF(AND(L117&lt;&gt;"Delivered",TODAY()&gt;J117),TODAY()-J117,0)))</f>
        <v/>
      </c>
    </row>
    <row r="118">
      <c r="M118">
        <f>IF(J118="","",IF(K118&lt;&gt;"",MAX(0,K118-J118),IF(AND(L118&lt;&gt;"Delivered",TODAY()&gt;J118),TODAY()-J118,0)))</f>
        <v/>
      </c>
    </row>
    <row r="119">
      <c r="M119">
        <f>IF(J119="","",IF(K119&lt;&gt;"",MAX(0,K119-J119),IF(AND(L119&lt;&gt;"Delivered",TODAY()&gt;J119),TODAY()-J119,0)))</f>
        <v/>
      </c>
    </row>
    <row r="120">
      <c r="M120">
        <f>IF(J120="","",IF(K120&lt;&gt;"",MAX(0,K120-J120),IF(AND(L120&lt;&gt;"Delivered",TODAY()&gt;J120),TODAY()-J120,0)))</f>
        <v/>
      </c>
    </row>
    <row r="121">
      <c r="M121">
        <f>IF(J121="","",IF(K121&lt;&gt;"",MAX(0,K121-J121),IF(AND(L121&lt;&gt;"Delivered",TODAY()&gt;J121),TODAY()-J121,0)))</f>
        <v/>
      </c>
    </row>
    <row r="122">
      <c r="M122">
        <f>IF(J122="","",IF(K122&lt;&gt;"",MAX(0,K122-J122),IF(AND(L122&lt;&gt;"Delivered",TODAY()&gt;J122),TODAY()-J122,0)))</f>
        <v/>
      </c>
    </row>
    <row r="123">
      <c r="M123">
        <f>IF(J123="","",IF(K123&lt;&gt;"",MAX(0,K123-J123),IF(AND(L123&lt;&gt;"Delivered",TODAY()&gt;J123),TODAY()-J123,0)))</f>
        <v/>
      </c>
    </row>
    <row r="124">
      <c r="M124">
        <f>IF(J124="","",IF(K124&lt;&gt;"",MAX(0,K124-J124),IF(AND(L124&lt;&gt;"Delivered",TODAY()&gt;J124),TODAY()-J124,0)))</f>
        <v/>
      </c>
    </row>
    <row r="125">
      <c r="M125">
        <f>IF(J125="","",IF(K125&lt;&gt;"",MAX(0,K125-J125),IF(AND(L125&lt;&gt;"Delivered",TODAY()&gt;J125),TODAY()-J125,0)))</f>
        <v/>
      </c>
    </row>
    <row r="126">
      <c r="M126">
        <f>IF(J126="","",IF(K126&lt;&gt;"",MAX(0,K126-J126),IF(AND(L126&lt;&gt;"Delivered",TODAY()&gt;J126),TODAY()-J126,0)))</f>
        <v/>
      </c>
    </row>
    <row r="127">
      <c r="M127">
        <f>IF(J127="","",IF(K127&lt;&gt;"",MAX(0,K127-J127),IF(AND(L127&lt;&gt;"Delivered",TODAY()&gt;J127),TODAY()-J127,0)))</f>
        <v/>
      </c>
    </row>
    <row r="128">
      <c r="M128">
        <f>IF(J128="","",IF(K128&lt;&gt;"",MAX(0,K128-J128),IF(AND(L128&lt;&gt;"Delivered",TODAY()&gt;J128),TODAY()-J128,0)))</f>
        <v/>
      </c>
    </row>
    <row r="129">
      <c r="M129">
        <f>IF(J129="","",IF(K129&lt;&gt;"",MAX(0,K129-J129),IF(AND(L129&lt;&gt;"Delivered",TODAY()&gt;J129),TODAY()-J129,0)))</f>
        <v/>
      </c>
    </row>
    <row r="130">
      <c r="M130">
        <f>IF(J130="","",IF(K130&lt;&gt;"",MAX(0,K130-J130),IF(AND(L130&lt;&gt;"Delivered",TODAY()&gt;J130),TODAY()-J130,0)))</f>
        <v/>
      </c>
    </row>
    <row r="131">
      <c r="M131">
        <f>IF(J131="","",IF(K131&lt;&gt;"",MAX(0,K131-J131),IF(AND(L131&lt;&gt;"Delivered",TODAY()&gt;J131),TODAY()-J131,0)))</f>
        <v/>
      </c>
    </row>
    <row r="132">
      <c r="M132">
        <f>IF(J132="","",IF(K132&lt;&gt;"",MAX(0,K132-J132),IF(AND(L132&lt;&gt;"Delivered",TODAY()&gt;J132),TODAY()-J132,0)))</f>
        <v/>
      </c>
    </row>
    <row r="133">
      <c r="M133">
        <f>IF(J133="","",IF(K133&lt;&gt;"",MAX(0,K133-J133),IF(AND(L133&lt;&gt;"Delivered",TODAY()&gt;J133),TODAY()-J133,0)))</f>
        <v/>
      </c>
    </row>
    <row r="134">
      <c r="M134">
        <f>IF(J134="","",IF(K134&lt;&gt;"",MAX(0,K134-J134),IF(AND(L134&lt;&gt;"Delivered",TODAY()&gt;J134),TODAY()-J134,0)))</f>
        <v/>
      </c>
    </row>
    <row r="135">
      <c r="M135">
        <f>IF(J135="","",IF(K135&lt;&gt;"",MAX(0,K135-J135),IF(AND(L135&lt;&gt;"Delivered",TODAY()&gt;J135),TODAY()-J135,0)))</f>
        <v/>
      </c>
    </row>
    <row r="136">
      <c r="M136">
        <f>IF(J136="","",IF(K136&lt;&gt;"",MAX(0,K136-J136),IF(AND(L136&lt;&gt;"Delivered",TODAY()&gt;J136),TODAY()-J136,0)))</f>
        <v/>
      </c>
    </row>
    <row r="137">
      <c r="M137">
        <f>IF(J137="","",IF(K137&lt;&gt;"",MAX(0,K137-J137),IF(AND(L137&lt;&gt;"Delivered",TODAY()&gt;J137),TODAY()-J137,0)))</f>
        <v/>
      </c>
    </row>
    <row r="138">
      <c r="M138">
        <f>IF(J138="","",IF(K138&lt;&gt;"",MAX(0,K138-J138),IF(AND(L138&lt;&gt;"Delivered",TODAY()&gt;J138),TODAY()-J138,0)))</f>
        <v/>
      </c>
    </row>
    <row r="139">
      <c r="M139">
        <f>IF(J139="","",IF(K139&lt;&gt;"",MAX(0,K139-J139),IF(AND(L139&lt;&gt;"Delivered",TODAY()&gt;J139),TODAY()-J139,0)))</f>
        <v/>
      </c>
    </row>
    <row r="140">
      <c r="M140">
        <f>IF(J140="","",IF(K140&lt;&gt;"",MAX(0,K140-J140),IF(AND(L140&lt;&gt;"Delivered",TODAY()&gt;J140),TODAY()-J140,0)))</f>
        <v/>
      </c>
    </row>
    <row r="141">
      <c r="M141">
        <f>IF(J141="","",IF(K141&lt;&gt;"",MAX(0,K141-J141),IF(AND(L141&lt;&gt;"Delivered",TODAY()&gt;J141),TODAY()-J141,0)))</f>
        <v/>
      </c>
    </row>
    <row r="142">
      <c r="M142">
        <f>IF(J142="","",IF(K142&lt;&gt;"",MAX(0,K142-J142),IF(AND(L142&lt;&gt;"Delivered",TODAY()&gt;J142),TODAY()-J142,0)))</f>
        <v/>
      </c>
    </row>
    <row r="143">
      <c r="M143">
        <f>IF(J143="","",IF(K143&lt;&gt;"",MAX(0,K143-J143),IF(AND(L143&lt;&gt;"Delivered",TODAY()&gt;J143),TODAY()-J143,0)))</f>
        <v/>
      </c>
    </row>
    <row r="144">
      <c r="M144">
        <f>IF(J144="","",IF(K144&lt;&gt;"",MAX(0,K144-J144),IF(AND(L144&lt;&gt;"Delivered",TODAY()&gt;J144),TODAY()-J144,0)))</f>
        <v/>
      </c>
    </row>
    <row r="145">
      <c r="M145">
        <f>IF(J145="","",IF(K145&lt;&gt;"",MAX(0,K145-J145),IF(AND(L145&lt;&gt;"Delivered",TODAY()&gt;J145),TODAY()-J145,0)))</f>
        <v/>
      </c>
    </row>
    <row r="146">
      <c r="M146">
        <f>IF(J146="","",IF(K146&lt;&gt;"",MAX(0,K146-J146),IF(AND(L146&lt;&gt;"Delivered",TODAY()&gt;J146),TODAY()-J146,0)))</f>
        <v/>
      </c>
    </row>
    <row r="147">
      <c r="M147">
        <f>IF(J147="","",IF(K147&lt;&gt;"",MAX(0,K147-J147),IF(AND(L147&lt;&gt;"Delivered",TODAY()&gt;J147),TODAY()-J147,0)))</f>
        <v/>
      </c>
    </row>
    <row r="148">
      <c r="M148">
        <f>IF(J148="","",IF(K148&lt;&gt;"",MAX(0,K148-J148),IF(AND(L148&lt;&gt;"Delivered",TODAY()&gt;J148),TODAY()-J148,0)))</f>
        <v/>
      </c>
    </row>
    <row r="149">
      <c r="M149">
        <f>IF(J149="","",IF(K149&lt;&gt;"",MAX(0,K149-J149),IF(AND(L149&lt;&gt;"Delivered",TODAY()&gt;J149),TODAY()-J149,0)))</f>
        <v/>
      </c>
    </row>
    <row r="150">
      <c r="M150">
        <f>IF(J150="","",IF(K150&lt;&gt;"",MAX(0,K150-J150),IF(AND(L150&lt;&gt;"Delivered",TODAY()&gt;J150),TODAY()-J150,0)))</f>
        <v/>
      </c>
    </row>
    <row r="151">
      <c r="M151">
        <f>IF(J151="","",IF(K151&lt;&gt;"",MAX(0,K151-J151),IF(AND(L151&lt;&gt;"Delivered",TODAY()&gt;J151),TODAY()-J151,0)))</f>
        <v/>
      </c>
    </row>
    <row r="152">
      <c r="M152">
        <f>IF(J152="","",IF(K152&lt;&gt;"",MAX(0,K152-J152),IF(AND(L152&lt;&gt;"Delivered",TODAY()&gt;J152),TODAY()-J152,0)))</f>
        <v/>
      </c>
    </row>
    <row r="153">
      <c r="M153">
        <f>IF(J153="","",IF(K153&lt;&gt;"",MAX(0,K153-J153),IF(AND(L153&lt;&gt;"Delivered",TODAY()&gt;J153),TODAY()-J153,0)))</f>
        <v/>
      </c>
    </row>
    <row r="154">
      <c r="M154">
        <f>IF(J154="","",IF(K154&lt;&gt;"",MAX(0,K154-J154),IF(AND(L154&lt;&gt;"Delivered",TODAY()&gt;J154),TODAY()-J154,0)))</f>
        <v/>
      </c>
    </row>
    <row r="155">
      <c r="M155">
        <f>IF(J155="","",IF(K155&lt;&gt;"",MAX(0,K155-J155),IF(AND(L155&lt;&gt;"Delivered",TODAY()&gt;J155),TODAY()-J155,0)))</f>
        <v/>
      </c>
    </row>
    <row r="156">
      <c r="M156">
        <f>IF(J156="","",IF(K156&lt;&gt;"",MAX(0,K156-J156),IF(AND(L156&lt;&gt;"Delivered",TODAY()&gt;J156),TODAY()-J156,0)))</f>
        <v/>
      </c>
    </row>
    <row r="157">
      <c r="M157">
        <f>IF(J157="","",IF(K157&lt;&gt;"",MAX(0,K157-J157),IF(AND(L157&lt;&gt;"Delivered",TODAY()&gt;J157),TODAY()-J157,0)))</f>
        <v/>
      </c>
    </row>
    <row r="158">
      <c r="M158">
        <f>IF(J158="","",IF(K158&lt;&gt;"",MAX(0,K158-J158),IF(AND(L158&lt;&gt;"Delivered",TODAY()&gt;J158),TODAY()-J158,0)))</f>
        <v/>
      </c>
    </row>
    <row r="159">
      <c r="M159">
        <f>IF(J159="","",IF(K159&lt;&gt;"",MAX(0,K159-J159),IF(AND(L159&lt;&gt;"Delivered",TODAY()&gt;J159),TODAY()-J159,0)))</f>
        <v/>
      </c>
    </row>
    <row r="160">
      <c r="M160">
        <f>IF(J160="","",IF(K160&lt;&gt;"",MAX(0,K160-J160),IF(AND(L160&lt;&gt;"Delivered",TODAY()&gt;J160),TODAY()-J160,0)))</f>
        <v/>
      </c>
    </row>
    <row r="161">
      <c r="M161">
        <f>IF(J161="","",IF(K161&lt;&gt;"",MAX(0,K161-J161),IF(AND(L161&lt;&gt;"Delivered",TODAY()&gt;J161),TODAY()-J161,0)))</f>
        <v/>
      </c>
    </row>
    <row r="162">
      <c r="M162">
        <f>IF(J162="","",IF(K162&lt;&gt;"",MAX(0,K162-J162),IF(AND(L162&lt;&gt;"Delivered",TODAY()&gt;J162),TODAY()-J162,0)))</f>
        <v/>
      </c>
    </row>
    <row r="163">
      <c r="M163">
        <f>IF(J163="","",IF(K163&lt;&gt;"",MAX(0,K163-J163),IF(AND(L163&lt;&gt;"Delivered",TODAY()&gt;J163),TODAY()-J163,0)))</f>
        <v/>
      </c>
    </row>
    <row r="164">
      <c r="M164">
        <f>IF(J164="","",IF(K164&lt;&gt;"",MAX(0,K164-J164),IF(AND(L164&lt;&gt;"Delivered",TODAY()&gt;J164),TODAY()-J164,0)))</f>
        <v/>
      </c>
    </row>
    <row r="165">
      <c r="M165">
        <f>IF(J165="","",IF(K165&lt;&gt;"",MAX(0,K165-J165),IF(AND(L165&lt;&gt;"Delivered",TODAY()&gt;J165),TODAY()-J165,0)))</f>
        <v/>
      </c>
    </row>
    <row r="166">
      <c r="M166">
        <f>IF(J166="","",IF(K166&lt;&gt;"",MAX(0,K166-J166),IF(AND(L166&lt;&gt;"Delivered",TODAY()&gt;J166),TODAY()-J166,0)))</f>
        <v/>
      </c>
    </row>
    <row r="167">
      <c r="M167">
        <f>IF(J167="","",IF(K167&lt;&gt;"",MAX(0,K167-J167),IF(AND(L167&lt;&gt;"Delivered",TODAY()&gt;J167),TODAY()-J167,0)))</f>
        <v/>
      </c>
    </row>
    <row r="168">
      <c r="M168">
        <f>IF(J168="","",IF(K168&lt;&gt;"",MAX(0,K168-J168),IF(AND(L168&lt;&gt;"Delivered",TODAY()&gt;J168),TODAY()-J168,0)))</f>
        <v/>
      </c>
    </row>
    <row r="169">
      <c r="M169">
        <f>IF(J169="","",IF(K169&lt;&gt;"",MAX(0,K169-J169),IF(AND(L169&lt;&gt;"Delivered",TODAY()&gt;J169),TODAY()-J169,0)))</f>
        <v/>
      </c>
    </row>
    <row r="170">
      <c r="M170">
        <f>IF(J170="","",IF(K170&lt;&gt;"",MAX(0,K170-J170),IF(AND(L170&lt;&gt;"Delivered",TODAY()&gt;J170),TODAY()-J170,0)))</f>
        <v/>
      </c>
    </row>
    <row r="171">
      <c r="M171">
        <f>IF(J171="","",IF(K171&lt;&gt;"",MAX(0,K171-J171),IF(AND(L171&lt;&gt;"Delivered",TODAY()&gt;J171),TODAY()-J171,0)))</f>
        <v/>
      </c>
    </row>
    <row r="172">
      <c r="M172">
        <f>IF(J172="","",IF(K172&lt;&gt;"",MAX(0,K172-J172),IF(AND(L172&lt;&gt;"Delivered",TODAY()&gt;J172),TODAY()-J172,0)))</f>
        <v/>
      </c>
    </row>
    <row r="173">
      <c r="M173">
        <f>IF(J173="","",IF(K173&lt;&gt;"",MAX(0,K173-J173),IF(AND(L173&lt;&gt;"Delivered",TODAY()&gt;J173),TODAY()-J173,0)))</f>
        <v/>
      </c>
    </row>
    <row r="174">
      <c r="M174">
        <f>IF(J174="","",IF(K174&lt;&gt;"",MAX(0,K174-J174),IF(AND(L174&lt;&gt;"Delivered",TODAY()&gt;J174),TODAY()-J174,0)))</f>
        <v/>
      </c>
    </row>
    <row r="175">
      <c r="M175">
        <f>IF(J175="","",IF(K175&lt;&gt;"",MAX(0,K175-J175),IF(AND(L175&lt;&gt;"Delivered",TODAY()&gt;J175),TODAY()-J175,0)))</f>
        <v/>
      </c>
    </row>
    <row r="176">
      <c r="M176">
        <f>IF(J176="","",IF(K176&lt;&gt;"",MAX(0,K176-J176),IF(AND(L176&lt;&gt;"Delivered",TODAY()&gt;J176),TODAY()-J176,0)))</f>
        <v/>
      </c>
    </row>
    <row r="177">
      <c r="M177">
        <f>IF(J177="","",IF(K177&lt;&gt;"",MAX(0,K177-J177),IF(AND(L177&lt;&gt;"Delivered",TODAY()&gt;J177),TODAY()-J177,0)))</f>
        <v/>
      </c>
    </row>
    <row r="178">
      <c r="M178">
        <f>IF(J178="","",IF(K178&lt;&gt;"",MAX(0,K178-J178),IF(AND(L178&lt;&gt;"Delivered",TODAY()&gt;J178),TODAY()-J178,0)))</f>
        <v/>
      </c>
    </row>
    <row r="179">
      <c r="M179">
        <f>IF(J179="","",IF(K179&lt;&gt;"",MAX(0,K179-J179),IF(AND(L179&lt;&gt;"Delivered",TODAY()&gt;J179),TODAY()-J179,0)))</f>
        <v/>
      </c>
    </row>
    <row r="180">
      <c r="M180">
        <f>IF(J180="","",IF(K180&lt;&gt;"",MAX(0,K180-J180),IF(AND(L180&lt;&gt;"Delivered",TODAY()&gt;J180),TODAY()-J180,0)))</f>
        <v/>
      </c>
    </row>
    <row r="181">
      <c r="M181">
        <f>IF(J181="","",IF(K181&lt;&gt;"",MAX(0,K181-J181),IF(AND(L181&lt;&gt;"Delivered",TODAY()&gt;J181),TODAY()-J181,0)))</f>
        <v/>
      </c>
    </row>
    <row r="182">
      <c r="M182">
        <f>IF(J182="","",IF(K182&lt;&gt;"",MAX(0,K182-J182),IF(AND(L182&lt;&gt;"Delivered",TODAY()&gt;J182),TODAY()-J182,0)))</f>
        <v/>
      </c>
    </row>
    <row r="183">
      <c r="M183">
        <f>IF(J183="","",IF(K183&lt;&gt;"",MAX(0,K183-J183),IF(AND(L183&lt;&gt;"Delivered",TODAY()&gt;J183),TODAY()-J183,0)))</f>
        <v/>
      </c>
    </row>
    <row r="184">
      <c r="M184">
        <f>IF(J184="","",IF(K184&lt;&gt;"",MAX(0,K184-J184),IF(AND(L184&lt;&gt;"Delivered",TODAY()&gt;J184),TODAY()-J184,0)))</f>
        <v/>
      </c>
    </row>
    <row r="185">
      <c r="M185">
        <f>IF(J185="","",IF(K185&lt;&gt;"",MAX(0,K185-J185),IF(AND(L185&lt;&gt;"Delivered",TODAY()&gt;J185),TODAY()-J185,0)))</f>
        <v/>
      </c>
    </row>
    <row r="186">
      <c r="M186">
        <f>IF(J186="","",IF(K186&lt;&gt;"",MAX(0,K186-J186),IF(AND(L186&lt;&gt;"Delivered",TODAY()&gt;J186),TODAY()-J186,0)))</f>
        <v/>
      </c>
    </row>
    <row r="187">
      <c r="M187">
        <f>IF(J187="","",IF(K187&lt;&gt;"",MAX(0,K187-J187),IF(AND(L187&lt;&gt;"Delivered",TODAY()&gt;J187),TODAY()-J187,0)))</f>
        <v/>
      </c>
    </row>
    <row r="188">
      <c r="M188">
        <f>IF(J188="","",IF(K188&lt;&gt;"",MAX(0,K188-J188),IF(AND(L188&lt;&gt;"Delivered",TODAY()&gt;J188),TODAY()-J188,0)))</f>
        <v/>
      </c>
    </row>
    <row r="189">
      <c r="M189">
        <f>IF(J189="","",IF(K189&lt;&gt;"",MAX(0,K189-J189),IF(AND(L189&lt;&gt;"Delivered",TODAY()&gt;J189),TODAY()-J189,0)))</f>
        <v/>
      </c>
    </row>
    <row r="190">
      <c r="M190">
        <f>IF(J190="","",IF(K190&lt;&gt;"",MAX(0,K190-J190),IF(AND(L190&lt;&gt;"Delivered",TODAY()&gt;J190),TODAY()-J190,0)))</f>
        <v/>
      </c>
    </row>
    <row r="191">
      <c r="M191">
        <f>IF(J191="","",IF(K191&lt;&gt;"",MAX(0,K191-J191),IF(AND(L191&lt;&gt;"Delivered",TODAY()&gt;J191),TODAY()-J191,0)))</f>
        <v/>
      </c>
    </row>
    <row r="192">
      <c r="M192">
        <f>IF(J192="","",IF(K192&lt;&gt;"",MAX(0,K192-J192),IF(AND(L192&lt;&gt;"Delivered",TODAY()&gt;J192),TODAY()-J192,0)))</f>
        <v/>
      </c>
    </row>
    <row r="193">
      <c r="M193">
        <f>IF(J193="","",IF(K193&lt;&gt;"",MAX(0,K193-J193),IF(AND(L193&lt;&gt;"Delivered",TODAY()&gt;J193),TODAY()-J193,0)))</f>
        <v/>
      </c>
    </row>
    <row r="194">
      <c r="M194">
        <f>IF(J194="","",IF(K194&lt;&gt;"",MAX(0,K194-J194),IF(AND(L194&lt;&gt;"Delivered",TODAY()&gt;J194),TODAY()-J194,0)))</f>
        <v/>
      </c>
    </row>
    <row r="195">
      <c r="M195">
        <f>IF(J195="","",IF(K195&lt;&gt;"",MAX(0,K195-J195),IF(AND(L195&lt;&gt;"Delivered",TODAY()&gt;J195),TODAY()-J195,0)))</f>
        <v/>
      </c>
    </row>
    <row r="196">
      <c r="M196">
        <f>IF(J196="","",IF(K196&lt;&gt;"",MAX(0,K196-J196),IF(AND(L196&lt;&gt;"Delivered",TODAY()&gt;J196),TODAY()-J196,0)))</f>
        <v/>
      </c>
    </row>
    <row r="197">
      <c r="M197">
        <f>IF(J197="","",IF(K197&lt;&gt;"",MAX(0,K197-J197),IF(AND(L197&lt;&gt;"Delivered",TODAY()&gt;J197),TODAY()-J197,0)))</f>
        <v/>
      </c>
    </row>
    <row r="198">
      <c r="M198">
        <f>IF(J198="","",IF(K198&lt;&gt;"",MAX(0,K198-J198),IF(AND(L198&lt;&gt;"Delivered",TODAY()&gt;J198),TODAY()-J198,0)))</f>
        <v/>
      </c>
    </row>
    <row r="199">
      <c r="M199">
        <f>IF(J199="","",IF(K199&lt;&gt;"",MAX(0,K199-J199),IF(AND(L199&lt;&gt;"Delivered",TODAY()&gt;J199),TODAY()-J199,0)))</f>
        <v/>
      </c>
    </row>
    <row r="200">
      <c r="M200">
        <f>IF(J200="","",IF(K200&lt;&gt;"",MAX(0,K200-J200),IF(AND(L200&lt;&gt;"Delivered",TODAY()&gt;J200),TODAY()-J200,0)))</f>
        <v/>
      </c>
    </row>
    <row r="201">
      <c r="M201">
        <f>IF(J201="","",IF(K201&lt;&gt;"",MAX(0,K201-J201),IF(AND(L201&lt;&gt;"Delivered",TODAY()&gt;J201),TODAY()-J201,0)))</f>
        <v/>
      </c>
    </row>
    <row r="202">
      <c r="M202">
        <f>IF(J202="","",IF(K202&lt;&gt;"",MAX(0,K202-J202),IF(AND(L202&lt;&gt;"Delivered",TODAY()&gt;J202),TODAY()-J202,0)))</f>
        <v/>
      </c>
    </row>
    <row r="203">
      <c r="M203">
        <f>IF(J203="","",IF(K203&lt;&gt;"",MAX(0,K203-J203),IF(AND(L203&lt;&gt;"Delivered",TODAY()&gt;J203),TODAY()-J203,0)))</f>
        <v/>
      </c>
    </row>
    <row r="204">
      <c r="M204">
        <f>IF(J204="","",IF(K204&lt;&gt;"",MAX(0,K204-J204),IF(AND(L204&lt;&gt;"Delivered",TODAY()&gt;J204),TODAY()-J204,0)))</f>
        <v/>
      </c>
    </row>
    <row r="205">
      <c r="M205">
        <f>IF(J205="","",IF(K205&lt;&gt;"",MAX(0,K205-J205),IF(AND(L205&lt;&gt;"Delivered",TODAY()&gt;J205),TODAY()-J205,0)))</f>
        <v/>
      </c>
    </row>
    <row r="206">
      <c r="M206">
        <f>IF(J206="","",IF(K206&lt;&gt;"",MAX(0,K206-J206),IF(AND(L206&lt;&gt;"Delivered",TODAY()&gt;J206),TODAY()-J206,0)))</f>
        <v/>
      </c>
    </row>
    <row r="207">
      <c r="M207">
        <f>IF(J207="","",IF(K207&lt;&gt;"",MAX(0,K207-J207),IF(AND(L207&lt;&gt;"Delivered",TODAY()&gt;J207),TODAY()-J207,0)))</f>
        <v/>
      </c>
    </row>
    <row r="208">
      <c r="M208">
        <f>IF(J208="","",IF(K208&lt;&gt;"",MAX(0,K208-J208),IF(AND(L208&lt;&gt;"Delivered",TODAY()&gt;J208),TODAY()-J208,0)))</f>
        <v/>
      </c>
    </row>
    <row r="209">
      <c r="M209">
        <f>IF(J209="","",IF(K209&lt;&gt;"",MAX(0,K209-J209),IF(AND(L209&lt;&gt;"Delivered",TODAY()&gt;J209),TODAY()-J209,0)))</f>
        <v/>
      </c>
    </row>
    <row r="210">
      <c r="M210">
        <f>IF(J210="","",IF(K210&lt;&gt;"",MAX(0,K210-J210),IF(AND(L210&lt;&gt;"Delivered",TODAY()&gt;J210),TODAY()-J210,0)))</f>
        <v/>
      </c>
    </row>
    <row r="211">
      <c r="M211">
        <f>IF(J211="","",IF(K211&lt;&gt;"",MAX(0,K211-J211),IF(AND(L211&lt;&gt;"Delivered",TODAY()&gt;J211),TODAY()-J211,0)))</f>
        <v/>
      </c>
    </row>
    <row r="212">
      <c r="M212">
        <f>IF(J212="","",IF(K212&lt;&gt;"",MAX(0,K212-J212),IF(AND(L212&lt;&gt;"Delivered",TODAY()&gt;J212),TODAY()-J212,0)))</f>
        <v/>
      </c>
    </row>
    <row r="213">
      <c r="M213">
        <f>IF(J213="","",IF(K213&lt;&gt;"",MAX(0,K213-J213),IF(AND(L213&lt;&gt;"Delivered",TODAY()&gt;J213),TODAY()-J213,0)))</f>
        <v/>
      </c>
    </row>
    <row r="214">
      <c r="M214">
        <f>IF(J214="","",IF(K214&lt;&gt;"",MAX(0,K214-J214),IF(AND(L214&lt;&gt;"Delivered",TODAY()&gt;J214),TODAY()-J214,0)))</f>
        <v/>
      </c>
    </row>
    <row r="215">
      <c r="M215">
        <f>IF(J215="","",IF(K215&lt;&gt;"",MAX(0,K215-J215),IF(AND(L215&lt;&gt;"Delivered",TODAY()&gt;J215),TODAY()-J215,0)))</f>
        <v/>
      </c>
    </row>
    <row r="216">
      <c r="M216">
        <f>IF(J216="","",IF(K216&lt;&gt;"",MAX(0,K216-J216),IF(AND(L216&lt;&gt;"Delivered",TODAY()&gt;J216),TODAY()-J216,0)))</f>
        <v/>
      </c>
    </row>
    <row r="217">
      <c r="M217">
        <f>IF(J217="","",IF(K217&lt;&gt;"",MAX(0,K217-J217),IF(AND(L217&lt;&gt;"Delivered",TODAY()&gt;J217),TODAY()-J217,0)))</f>
        <v/>
      </c>
    </row>
    <row r="218">
      <c r="M218">
        <f>IF(J218="","",IF(K218&lt;&gt;"",MAX(0,K218-J218),IF(AND(L218&lt;&gt;"Delivered",TODAY()&gt;J218),TODAY()-J218,0)))</f>
        <v/>
      </c>
    </row>
    <row r="219">
      <c r="M219">
        <f>IF(J219="","",IF(K219&lt;&gt;"",MAX(0,K219-J219),IF(AND(L219&lt;&gt;"Delivered",TODAY()&gt;J219),TODAY()-J219,0)))</f>
        <v/>
      </c>
    </row>
    <row r="220">
      <c r="M220">
        <f>IF(J220="","",IF(K220&lt;&gt;"",MAX(0,K220-J220),IF(AND(L220&lt;&gt;"Delivered",TODAY()&gt;J220),TODAY()-J220,0)))</f>
        <v/>
      </c>
    </row>
    <row r="221">
      <c r="M221">
        <f>IF(J221="","",IF(K221&lt;&gt;"",MAX(0,K221-J221),IF(AND(L221&lt;&gt;"Delivered",TODAY()&gt;J221),TODAY()-J221,0)))</f>
        <v/>
      </c>
    </row>
    <row r="222">
      <c r="M222">
        <f>IF(J222="","",IF(K222&lt;&gt;"",MAX(0,K222-J222),IF(AND(L222&lt;&gt;"Delivered",TODAY()&gt;J222),TODAY()-J222,0)))</f>
        <v/>
      </c>
    </row>
    <row r="223">
      <c r="M223">
        <f>IF(J223="","",IF(K223&lt;&gt;"",MAX(0,K223-J223),IF(AND(L223&lt;&gt;"Delivered",TODAY()&gt;J223),TODAY()-J223,0)))</f>
        <v/>
      </c>
    </row>
    <row r="224">
      <c r="M224">
        <f>IF(J224="","",IF(K224&lt;&gt;"",MAX(0,K224-J224),IF(AND(L224&lt;&gt;"Delivered",TODAY()&gt;J224),TODAY()-J224,0)))</f>
        <v/>
      </c>
    </row>
    <row r="225">
      <c r="M225">
        <f>IF(J225="","",IF(K225&lt;&gt;"",MAX(0,K225-J225),IF(AND(L225&lt;&gt;"Delivered",TODAY()&gt;J225),TODAY()-J225,0)))</f>
        <v/>
      </c>
    </row>
    <row r="226">
      <c r="M226">
        <f>IF(J226="","",IF(K226&lt;&gt;"",MAX(0,K226-J226),IF(AND(L226&lt;&gt;"Delivered",TODAY()&gt;J226),TODAY()-J226,0)))</f>
        <v/>
      </c>
    </row>
    <row r="227">
      <c r="M227">
        <f>IF(J227="","",IF(K227&lt;&gt;"",MAX(0,K227-J227),IF(AND(L227&lt;&gt;"Delivered",TODAY()&gt;J227),TODAY()-J227,0)))</f>
        <v/>
      </c>
    </row>
    <row r="228">
      <c r="M228">
        <f>IF(J228="","",IF(K228&lt;&gt;"",MAX(0,K228-J228),IF(AND(L228&lt;&gt;"Delivered",TODAY()&gt;J228),TODAY()-J228,0)))</f>
        <v/>
      </c>
    </row>
    <row r="229">
      <c r="M229">
        <f>IF(J229="","",IF(K229&lt;&gt;"",MAX(0,K229-J229),IF(AND(L229&lt;&gt;"Delivered",TODAY()&gt;J229),TODAY()-J229,0)))</f>
        <v/>
      </c>
    </row>
    <row r="230">
      <c r="M230">
        <f>IF(J230="","",IF(K230&lt;&gt;"",MAX(0,K230-J230),IF(AND(L230&lt;&gt;"Delivered",TODAY()&gt;J230),TODAY()-J230,0)))</f>
        <v/>
      </c>
    </row>
    <row r="231">
      <c r="M231">
        <f>IF(J231="","",IF(K231&lt;&gt;"",MAX(0,K231-J231),IF(AND(L231&lt;&gt;"Delivered",TODAY()&gt;J231),TODAY()-J231,0)))</f>
        <v/>
      </c>
    </row>
    <row r="232">
      <c r="M232">
        <f>IF(J232="","",IF(K232&lt;&gt;"",MAX(0,K232-J232),IF(AND(L232&lt;&gt;"Delivered",TODAY()&gt;J232),TODAY()-J232,0)))</f>
        <v/>
      </c>
    </row>
    <row r="233">
      <c r="M233">
        <f>IF(J233="","",IF(K233&lt;&gt;"",MAX(0,K233-J233),IF(AND(L233&lt;&gt;"Delivered",TODAY()&gt;J233),TODAY()-J233,0)))</f>
        <v/>
      </c>
    </row>
    <row r="234">
      <c r="M234">
        <f>IF(J234="","",IF(K234&lt;&gt;"",MAX(0,K234-J234),IF(AND(L234&lt;&gt;"Delivered",TODAY()&gt;J234),TODAY()-J234,0)))</f>
        <v/>
      </c>
    </row>
    <row r="235">
      <c r="M235">
        <f>IF(J235="","",IF(K235&lt;&gt;"",MAX(0,K235-J235),IF(AND(L235&lt;&gt;"Delivered",TODAY()&gt;J235),TODAY()-J235,0)))</f>
        <v/>
      </c>
    </row>
    <row r="236">
      <c r="M236">
        <f>IF(J236="","",IF(K236&lt;&gt;"",MAX(0,K236-J236),IF(AND(L236&lt;&gt;"Delivered",TODAY()&gt;J236),TODAY()-J236,0)))</f>
        <v/>
      </c>
    </row>
    <row r="237">
      <c r="M237">
        <f>IF(J237="","",IF(K237&lt;&gt;"",MAX(0,K237-J237),IF(AND(L237&lt;&gt;"Delivered",TODAY()&gt;J237),TODAY()-J237,0)))</f>
        <v/>
      </c>
    </row>
    <row r="238">
      <c r="M238">
        <f>IF(J238="","",IF(K238&lt;&gt;"",MAX(0,K238-J238),IF(AND(L238&lt;&gt;"Delivered",TODAY()&gt;J238),TODAY()-J238,0)))</f>
        <v/>
      </c>
    </row>
    <row r="239">
      <c r="M239">
        <f>IF(J239="","",IF(K239&lt;&gt;"",MAX(0,K239-J239),IF(AND(L239&lt;&gt;"Delivered",TODAY()&gt;J239),TODAY()-J239,0)))</f>
        <v/>
      </c>
    </row>
    <row r="240">
      <c r="M240">
        <f>IF(J240="","",IF(K240&lt;&gt;"",MAX(0,K240-J240),IF(AND(L240&lt;&gt;"Delivered",TODAY()&gt;J240),TODAY()-J240,0)))</f>
        <v/>
      </c>
    </row>
    <row r="241">
      <c r="M241">
        <f>IF(J241="","",IF(K241&lt;&gt;"",MAX(0,K241-J241),IF(AND(L241&lt;&gt;"Delivered",TODAY()&gt;J241),TODAY()-J241,0)))</f>
        <v/>
      </c>
    </row>
    <row r="242">
      <c r="M242">
        <f>IF(J242="","",IF(K242&lt;&gt;"",MAX(0,K242-J242),IF(AND(L242&lt;&gt;"Delivered",TODAY()&gt;J242),TODAY()-J242,0)))</f>
        <v/>
      </c>
    </row>
    <row r="243">
      <c r="M243">
        <f>IF(J243="","",IF(K243&lt;&gt;"",MAX(0,K243-J243),IF(AND(L243&lt;&gt;"Delivered",TODAY()&gt;J243),TODAY()-J243,0)))</f>
        <v/>
      </c>
    </row>
    <row r="244">
      <c r="M244">
        <f>IF(J244="","",IF(K244&lt;&gt;"",MAX(0,K244-J244),IF(AND(L244&lt;&gt;"Delivered",TODAY()&gt;J244),TODAY()-J244,0)))</f>
        <v/>
      </c>
    </row>
    <row r="245">
      <c r="M245">
        <f>IF(J245="","",IF(K245&lt;&gt;"",MAX(0,K245-J245),IF(AND(L245&lt;&gt;"Delivered",TODAY()&gt;J245),TODAY()-J245,0)))</f>
        <v/>
      </c>
    </row>
    <row r="246">
      <c r="M246">
        <f>IF(J246="","",IF(K246&lt;&gt;"",MAX(0,K246-J246),IF(AND(L246&lt;&gt;"Delivered",TODAY()&gt;J246),TODAY()-J246,0)))</f>
        <v/>
      </c>
    </row>
    <row r="247">
      <c r="M247">
        <f>IF(J247="","",IF(K247&lt;&gt;"",MAX(0,K247-J247),IF(AND(L247&lt;&gt;"Delivered",TODAY()&gt;J247),TODAY()-J247,0)))</f>
        <v/>
      </c>
    </row>
    <row r="248">
      <c r="M248">
        <f>IF(J248="","",IF(K248&lt;&gt;"",MAX(0,K248-J248),IF(AND(L248&lt;&gt;"Delivered",TODAY()&gt;J248),TODAY()-J248,0)))</f>
        <v/>
      </c>
    </row>
    <row r="249">
      <c r="M249">
        <f>IF(J249="","",IF(K249&lt;&gt;"",MAX(0,K249-J249),IF(AND(L249&lt;&gt;"Delivered",TODAY()&gt;J249),TODAY()-J249,0)))</f>
        <v/>
      </c>
    </row>
    <row r="250">
      <c r="M250">
        <f>IF(J250="","",IF(K250&lt;&gt;"",MAX(0,K250-J250),IF(AND(L250&lt;&gt;"Delivered",TODAY()&gt;J250),TODAY()-J250,0)))</f>
        <v/>
      </c>
    </row>
    <row r="251">
      <c r="M251">
        <f>IF(J251="","",IF(K251&lt;&gt;"",MAX(0,K251-J251),IF(AND(L251&lt;&gt;"Delivered",TODAY()&gt;J251),TODAY()-J251,0)))</f>
        <v/>
      </c>
    </row>
    <row r="252">
      <c r="M252">
        <f>IF(J252="","",IF(K252&lt;&gt;"",MAX(0,K252-J252),IF(AND(L252&lt;&gt;"Delivered",TODAY()&gt;J252),TODAY()-J252,0)))</f>
        <v/>
      </c>
    </row>
    <row r="253">
      <c r="M253">
        <f>IF(J253="","",IF(K253&lt;&gt;"",MAX(0,K253-J253),IF(AND(L253&lt;&gt;"Delivered",TODAY()&gt;J253),TODAY()-J253,0)))</f>
        <v/>
      </c>
    </row>
    <row r="254">
      <c r="M254">
        <f>IF(J254="","",IF(K254&lt;&gt;"",MAX(0,K254-J254),IF(AND(L254&lt;&gt;"Delivered",TODAY()&gt;J254),TODAY()-J254,0)))</f>
        <v/>
      </c>
    </row>
    <row r="255">
      <c r="M255">
        <f>IF(J255="","",IF(K255&lt;&gt;"",MAX(0,K255-J255),IF(AND(L255&lt;&gt;"Delivered",TODAY()&gt;J255),TODAY()-J255,0)))</f>
        <v/>
      </c>
    </row>
    <row r="256">
      <c r="M256">
        <f>IF(J256="","",IF(K256&lt;&gt;"",MAX(0,K256-J256),IF(AND(L256&lt;&gt;"Delivered",TODAY()&gt;J256),TODAY()-J256,0)))</f>
        <v/>
      </c>
    </row>
    <row r="257">
      <c r="M257">
        <f>IF(J257="","",IF(K257&lt;&gt;"",MAX(0,K257-J257),IF(AND(L257&lt;&gt;"Delivered",TODAY()&gt;J257),TODAY()-J257,0)))</f>
        <v/>
      </c>
    </row>
    <row r="258">
      <c r="M258">
        <f>IF(J258="","",IF(K258&lt;&gt;"",MAX(0,K258-J258),IF(AND(L258&lt;&gt;"Delivered",TODAY()&gt;J258),TODAY()-J258,0)))</f>
        <v/>
      </c>
    </row>
    <row r="259">
      <c r="M259">
        <f>IF(J259="","",IF(K259&lt;&gt;"",MAX(0,K259-J259),IF(AND(L259&lt;&gt;"Delivered",TODAY()&gt;J259),TODAY()-J259,0)))</f>
        <v/>
      </c>
    </row>
    <row r="260">
      <c r="M260">
        <f>IF(J260="","",IF(K260&lt;&gt;"",MAX(0,K260-J260),IF(AND(L260&lt;&gt;"Delivered",TODAY()&gt;J260),TODAY()-J260,0)))</f>
        <v/>
      </c>
    </row>
    <row r="261">
      <c r="M261">
        <f>IF(J261="","",IF(K261&lt;&gt;"",MAX(0,K261-J261),IF(AND(L261&lt;&gt;"Delivered",TODAY()&gt;J261),TODAY()-J261,0)))</f>
        <v/>
      </c>
    </row>
    <row r="262">
      <c r="M262">
        <f>IF(J262="","",IF(K262&lt;&gt;"",MAX(0,K262-J262),IF(AND(L262&lt;&gt;"Delivered",TODAY()&gt;J262),TODAY()-J262,0)))</f>
        <v/>
      </c>
    </row>
    <row r="263">
      <c r="M263">
        <f>IF(J263="","",IF(K263&lt;&gt;"",MAX(0,K263-J263),IF(AND(L263&lt;&gt;"Delivered",TODAY()&gt;J263),TODAY()-J263,0)))</f>
        <v/>
      </c>
    </row>
    <row r="264">
      <c r="M264">
        <f>IF(J264="","",IF(K264&lt;&gt;"",MAX(0,K264-J264),IF(AND(L264&lt;&gt;"Delivered",TODAY()&gt;J264),TODAY()-J264,0)))</f>
        <v/>
      </c>
    </row>
    <row r="265">
      <c r="M265">
        <f>IF(J265="","",IF(K265&lt;&gt;"",MAX(0,K265-J265),IF(AND(L265&lt;&gt;"Delivered",TODAY()&gt;J265),TODAY()-J265,0)))</f>
        <v/>
      </c>
    </row>
    <row r="266">
      <c r="M266">
        <f>IF(J266="","",IF(K266&lt;&gt;"",MAX(0,K266-J266),IF(AND(L266&lt;&gt;"Delivered",TODAY()&gt;J266),TODAY()-J266,0)))</f>
        <v/>
      </c>
    </row>
    <row r="267">
      <c r="M267">
        <f>IF(J267="","",IF(K267&lt;&gt;"",MAX(0,K267-J267),IF(AND(L267&lt;&gt;"Delivered",TODAY()&gt;J267),TODAY()-J267,0)))</f>
        <v/>
      </c>
    </row>
    <row r="268">
      <c r="M268">
        <f>IF(J268="","",IF(K268&lt;&gt;"",MAX(0,K268-J268),IF(AND(L268&lt;&gt;"Delivered",TODAY()&gt;J268),TODAY()-J268,0)))</f>
        <v/>
      </c>
    </row>
    <row r="269">
      <c r="M269">
        <f>IF(J269="","",IF(K269&lt;&gt;"",MAX(0,K269-J269),IF(AND(L269&lt;&gt;"Delivered",TODAY()&gt;J269),TODAY()-J269,0)))</f>
        <v/>
      </c>
    </row>
    <row r="270">
      <c r="M270">
        <f>IF(J270="","",IF(K270&lt;&gt;"",MAX(0,K270-J270),IF(AND(L270&lt;&gt;"Delivered",TODAY()&gt;J270),TODAY()-J270,0)))</f>
        <v/>
      </c>
    </row>
    <row r="271">
      <c r="M271">
        <f>IF(J271="","",IF(K271&lt;&gt;"",MAX(0,K271-J271),IF(AND(L271&lt;&gt;"Delivered",TODAY()&gt;J271),TODAY()-J271,0)))</f>
        <v/>
      </c>
    </row>
    <row r="272">
      <c r="M272">
        <f>IF(J272="","",IF(K272&lt;&gt;"",MAX(0,K272-J272),IF(AND(L272&lt;&gt;"Delivered",TODAY()&gt;J272),TODAY()-J272,0)))</f>
        <v/>
      </c>
    </row>
    <row r="273">
      <c r="M273">
        <f>IF(J273="","",IF(K273&lt;&gt;"",MAX(0,K273-J273),IF(AND(L273&lt;&gt;"Delivered",TODAY()&gt;J273),TODAY()-J273,0)))</f>
        <v/>
      </c>
    </row>
    <row r="274">
      <c r="M274">
        <f>IF(J274="","",IF(K274&lt;&gt;"",MAX(0,K274-J274),IF(AND(L274&lt;&gt;"Delivered",TODAY()&gt;J274),TODAY()-J274,0)))</f>
        <v/>
      </c>
    </row>
    <row r="275">
      <c r="M275">
        <f>IF(J275="","",IF(K275&lt;&gt;"",MAX(0,K275-J275),IF(AND(L275&lt;&gt;"Delivered",TODAY()&gt;J275),TODAY()-J275,0)))</f>
        <v/>
      </c>
    </row>
    <row r="276">
      <c r="M276">
        <f>IF(J276="","",IF(K276&lt;&gt;"",MAX(0,K276-J276),IF(AND(L276&lt;&gt;"Delivered",TODAY()&gt;J276),TODAY()-J276,0)))</f>
        <v/>
      </c>
    </row>
    <row r="277">
      <c r="M277">
        <f>IF(J277="","",IF(K277&lt;&gt;"",MAX(0,K277-J277),IF(AND(L277&lt;&gt;"Delivered",TODAY()&gt;J277),TODAY()-J277,0)))</f>
        <v/>
      </c>
    </row>
    <row r="278">
      <c r="M278">
        <f>IF(J278="","",IF(K278&lt;&gt;"",MAX(0,K278-J278),IF(AND(L278&lt;&gt;"Delivered",TODAY()&gt;J278),TODAY()-J278,0)))</f>
        <v/>
      </c>
    </row>
    <row r="279">
      <c r="M279">
        <f>IF(J279="","",IF(K279&lt;&gt;"",MAX(0,K279-J279),IF(AND(L279&lt;&gt;"Delivered",TODAY()&gt;J279),TODAY()-J279,0)))</f>
        <v/>
      </c>
    </row>
    <row r="280">
      <c r="M280">
        <f>IF(J280="","",IF(K280&lt;&gt;"",MAX(0,K280-J280),IF(AND(L280&lt;&gt;"Delivered",TODAY()&gt;J280),TODAY()-J280,0)))</f>
        <v/>
      </c>
    </row>
    <row r="281">
      <c r="M281">
        <f>IF(J281="","",IF(K281&lt;&gt;"",MAX(0,K281-J281),IF(AND(L281&lt;&gt;"Delivered",TODAY()&gt;J281),TODAY()-J281,0)))</f>
        <v/>
      </c>
    </row>
    <row r="282">
      <c r="M282">
        <f>IF(J282="","",IF(K282&lt;&gt;"",MAX(0,K282-J282),IF(AND(L282&lt;&gt;"Delivered",TODAY()&gt;J282),TODAY()-J282,0)))</f>
        <v/>
      </c>
    </row>
    <row r="283">
      <c r="M283">
        <f>IF(J283="","",IF(K283&lt;&gt;"",MAX(0,K283-J283),IF(AND(L283&lt;&gt;"Delivered",TODAY()&gt;J283),TODAY()-J283,0)))</f>
        <v/>
      </c>
    </row>
    <row r="284">
      <c r="M284">
        <f>IF(J284="","",IF(K284&lt;&gt;"",MAX(0,K284-J284),IF(AND(L284&lt;&gt;"Delivered",TODAY()&gt;J284),TODAY()-J284,0)))</f>
        <v/>
      </c>
    </row>
    <row r="285">
      <c r="M285">
        <f>IF(J285="","",IF(K285&lt;&gt;"",MAX(0,K285-J285),IF(AND(L285&lt;&gt;"Delivered",TODAY()&gt;J285),TODAY()-J285,0)))</f>
        <v/>
      </c>
    </row>
    <row r="286">
      <c r="M286">
        <f>IF(J286="","",IF(K286&lt;&gt;"",MAX(0,K286-J286),IF(AND(L286&lt;&gt;"Delivered",TODAY()&gt;J286),TODAY()-J286,0)))</f>
        <v/>
      </c>
    </row>
    <row r="287">
      <c r="M287">
        <f>IF(J287="","",IF(K287&lt;&gt;"",MAX(0,K287-J287),IF(AND(L287&lt;&gt;"Delivered",TODAY()&gt;J287),TODAY()-J287,0)))</f>
        <v/>
      </c>
    </row>
    <row r="288">
      <c r="M288">
        <f>IF(J288="","",IF(K288&lt;&gt;"",MAX(0,K288-J288),IF(AND(L288&lt;&gt;"Delivered",TODAY()&gt;J288),TODAY()-J288,0)))</f>
        <v/>
      </c>
    </row>
    <row r="289">
      <c r="M289">
        <f>IF(J289="","",IF(K289&lt;&gt;"",MAX(0,K289-J289),IF(AND(L289&lt;&gt;"Delivered",TODAY()&gt;J289),TODAY()-J289,0)))</f>
        <v/>
      </c>
    </row>
    <row r="290">
      <c r="M290">
        <f>IF(J290="","",IF(K290&lt;&gt;"",MAX(0,K290-J290),IF(AND(L290&lt;&gt;"Delivered",TODAY()&gt;J290),TODAY()-J290,0)))</f>
        <v/>
      </c>
    </row>
    <row r="291">
      <c r="M291">
        <f>IF(J291="","",IF(K291&lt;&gt;"",MAX(0,K291-J291),IF(AND(L291&lt;&gt;"Delivered",TODAY()&gt;J291),TODAY()-J291,0)))</f>
        <v/>
      </c>
    </row>
    <row r="292">
      <c r="M292">
        <f>IF(J292="","",IF(K292&lt;&gt;"",MAX(0,K292-J292),IF(AND(L292&lt;&gt;"Delivered",TODAY()&gt;J292),TODAY()-J292,0)))</f>
        <v/>
      </c>
    </row>
    <row r="293">
      <c r="M293">
        <f>IF(J293="","",IF(K293&lt;&gt;"",MAX(0,K293-J293),IF(AND(L293&lt;&gt;"Delivered",TODAY()&gt;J293),TODAY()-J293,0)))</f>
        <v/>
      </c>
    </row>
    <row r="294">
      <c r="M294">
        <f>IF(J294="","",IF(K294&lt;&gt;"",MAX(0,K294-J294),IF(AND(L294&lt;&gt;"Delivered",TODAY()&gt;J294),TODAY()-J294,0)))</f>
        <v/>
      </c>
    </row>
    <row r="295">
      <c r="M295">
        <f>IF(J295="","",IF(K295&lt;&gt;"",MAX(0,K295-J295),IF(AND(L295&lt;&gt;"Delivered",TODAY()&gt;J295),TODAY()-J295,0)))</f>
        <v/>
      </c>
    </row>
    <row r="296">
      <c r="M296">
        <f>IF(J296="","",IF(K296&lt;&gt;"",MAX(0,K296-J296),IF(AND(L296&lt;&gt;"Delivered",TODAY()&gt;J296),TODAY()-J296,0)))</f>
        <v/>
      </c>
    </row>
    <row r="297">
      <c r="M297">
        <f>IF(J297="","",IF(K297&lt;&gt;"",MAX(0,K297-J297),IF(AND(L297&lt;&gt;"Delivered",TODAY()&gt;J297),TODAY()-J297,0)))</f>
        <v/>
      </c>
    </row>
    <row r="298">
      <c r="M298">
        <f>IF(J298="","",IF(K298&lt;&gt;"",MAX(0,K298-J298),IF(AND(L298&lt;&gt;"Delivered",TODAY()&gt;J298),TODAY()-J298,0)))</f>
        <v/>
      </c>
    </row>
    <row r="299">
      <c r="M299">
        <f>IF(J299="","",IF(K299&lt;&gt;"",MAX(0,K299-J299),IF(AND(L299&lt;&gt;"Delivered",TODAY()&gt;J299),TODAY()-J299,0)))</f>
        <v/>
      </c>
    </row>
    <row r="300">
      <c r="M300">
        <f>IF(J300="","",IF(K300&lt;&gt;"",MAX(0,K300-J300),IF(AND(L300&lt;&gt;"Delivered",TODAY()&gt;J300),TODAY()-J300,0)))</f>
        <v/>
      </c>
    </row>
    <row r="301">
      <c r="M301">
        <f>IF(J301="","",IF(K301&lt;&gt;"",MAX(0,K301-J301),IF(AND(L301&lt;&gt;"Delivered",TODAY()&gt;J301),TODAY()-J301,0)))</f>
        <v/>
      </c>
    </row>
    <row r="302">
      <c r="M302">
        <f>IF(J302="","",IF(K302&lt;&gt;"",MAX(0,K302-J302),IF(AND(L302&lt;&gt;"Delivered",TODAY()&gt;J302),TODAY()-J302,0)))</f>
        <v/>
      </c>
    </row>
    <row r="303">
      <c r="M303">
        <f>IF(J303="","",IF(K303&lt;&gt;"",MAX(0,K303-J303),IF(AND(L303&lt;&gt;"Delivered",TODAY()&gt;J303),TODAY()-J303,0)))</f>
        <v/>
      </c>
    </row>
    <row r="304">
      <c r="M304">
        <f>IF(J304="","",IF(K304&lt;&gt;"",MAX(0,K304-J304),IF(AND(L304&lt;&gt;"Delivered",TODAY()&gt;J304),TODAY()-J304,0)))</f>
        <v/>
      </c>
    </row>
    <row r="305">
      <c r="M305">
        <f>IF(J305="","",IF(K305&lt;&gt;"",MAX(0,K305-J305),IF(AND(L305&lt;&gt;"Delivered",TODAY()&gt;J305),TODAY()-J305,0)))</f>
        <v/>
      </c>
    </row>
    <row r="306">
      <c r="M306">
        <f>IF(J306="","",IF(K306&lt;&gt;"",MAX(0,K306-J306),IF(AND(L306&lt;&gt;"Delivered",TODAY()&gt;J306),TODAY()-J306,0)))</f>
        <v/>
      </c>
    </row>
    <row r="307">
      <c r="M307">
        <f>IF(J307="","",IF(K307&lt;&gt;"",MAX(0,K307-J307),IF(AND(L307&lt;&gt;"Delivered",TODAY()&gt;J307),TODAY()-J307,0)))</f>
        <v/>
      </c>
    </row>
    <row r="308">
      <c r="M308">
        <f>IF(J308="","",IF(K308&lt;&gt;"",MAX(0,K308-J308),IF(AND(L308&lt;&gt;"Delivered",TODAY()&gt;J308),TODAY()-J308,0)))</f>
        <v/>
      </c>
    </row>
    <row r="309">
      <c r="M309">
        <f>IF(J309="","",IF(K309&lt;&gt;"",MAX(0,K309-J309),IF(AND(L309&lt;&gt;"Delivered",TODAY()&gt;J309),TODAY()-J309,0)))</f>
        <v/>
      </c>
    </row>
    <row r="310">
      <c r="M310">
        <f>IF(J310="","",IF(K310&lt;&gt;"",MAX(0,K310-J310),IF(AND(L310&lt;&gt;"Delivered",TODAY()&gt;J310),TODAY()-J310,0)))</f>
        <v/>
      </c>
    </row>
    <row r="311">
      <c r="M311">
        <f>IF(J311="","",IF(K311&lt;&gt;"",MAX(0,K311-J311),IF(AND(L311&lt;&gt;"Delivered",TODAY()&gt;J311),TODAY()-J311,0)))</f>
        <v/>
      </c>
    </row>
    <row r="312">
      <c r="M312">
        <f>IF(J312="","",IF(K312&lt;&gt;"",MAX(0,K312-J312),IF(AND(L312&lt;&gt;"Delivered",TODAY()&gt;J312),TODAY()-J312,0)))</f>
        <v/>
      </c>
    </row>
    <row r="313">
      <c r="M313">
        <f>IF(J313="","",IF(K313&lt;&gt;"",MAX(0,K313-J313),IF(AND(L313&lt;&gt;"Delivered",TODAY()&gt;J313),TODAY()-J313,0)))</f>
        <v/>
      </c>
    </row>
    <row r="314">
      <c r="M314">
        <f>IF(J314="","",IF(K314&lt;&gt;"",MAX(0,K314-J314),IF(AND(L314&lt;&gt;"Delivered",TODAY()&gt;J314),TODAY()-J314,0)))</f>
        <v/>
      </c>
    </row>
    <row r="315">
      <c r="M315">
        <f>IF(J315="","",IF(K315&lt;&gt;"",MAX(0,K315-J315),IF(AND(L315&lt;&gt;"Delivered",TODAY()&gt;J315),TODAY()-J315,0)))</f>
        <v/>
      </c>
    </row>
    <row r="316">
      <c r="M316">
        <f>IF(J316="","",IF(K316&lt;&gt;"",MAX(0,K316-J316),IF(AND(L316&lt;&gt;"Delivered",TODAY()&gt;J316),TODAY()-J316,0)))</f>
        <v/>
      </c>
    </row>
    <row r="317">
      <c r="M317">
        <f>IF(J317="","",IF(K317&lt;&gt;"",MAX(0,K317-J317),IF(AND(L317&lt;&gt;"Delivered",TODAY()&gt;J317),TODAY()-J317,0)))</f>
        <v/>
      </c>
    </row>
    <row r="318">
      <c r="M318">
        <f>IF(J318="","",IF(K318&lt;&gt;"",MAX(0,K318-J318),IF(AND(L318&lt;&gt;"Delivered",TODAY()&gt;J318),TODAY()-J318,0)))</f>
        <v/>
      </c>
    </row>
    <row r="319">
      <c r="M319">
        <f>IF(J319="","",IF(K319&lt;&gt;"",MAX(0,K319-J319),IF(AND(L319&lt;&gt;"Delivered",TODAY()&gt;J319),TODAY()-J319,0)))</f>
        <v/>
      </c>
    </row>
    <row r="320">
      <c r="M320">
        <f>IF(J320="","",IF(K320&lt;&gt;"",MAX(0,K320-J320),IF(AND(L320&lt;&gt;"Delivered",TODAY()&gt;J320),TODAY()-J320,0)))</f>
        <v/>
      </c>
    </row>
    <row r="321">
      <c r="M321">
        <f>IF(J321="","",IF(K321&lt;&gt;"",MAX(0,K321-J321),IF(AND(L321&lt;&gt;"Delivered",TODAY()&gt;J321),TODAY()-J321,0)))</f>
        <v/>
      </c>
    </row>
    <row r="322">
      <c r="M322">
        <f>IF(J322="","",IF(K322&lt;&gt;"",MAX(0,K322-J322),IF(AND(L322&lt;&gt;"Delivered",TODAY()&gt;J322),TODAY()-J322,0)))</f>
        <v/>
      </c>
    </row>
    <row r="323">
      <c r="M323">
        <f>IF(J323="","",IF(K323&lt;&gt;"",MAX(0,K323-J323),IF(AND(L323&lt;&gt;"Delivered",TODAY()&gt;J323),TODAY()-J323,0)))</f>
        <v/>
      </c>
    </row>
    <row r="324">
      <c r="M324">
        <f>IF(J324="","",IF(K324&lt;&gt;"",MAX(0,K324-J324),IF(AND(L324&lt;&gt;"Delivered",TODAY()&gt;J324),TODAY()-J324,0)))</f>
        <v/>
      </c>
    </row>
    <row r="325">
      <c r="M325">
        <f>IF(J325="","",IF(K325&lt;&gt;"",MAX(0,K325-J325),IF(AND(L325&lt;&gt;"Delivered",TODAY()&gt;J325),TODAY()-J325,0)))</f>
        <v/>
      </c>
    </row>
    <row r="326">
      <c r="M326">
        <f>IF(J326="","",IF(K326&lt;&gt;"",MAX(0,K326-J326),IF(AND(L326&lt;&gt;"Delivered",TODAY()&gt;J326),TODAY()-J326,0)))</f>
        <v/>
      </c>
    </row>
    <row r="327">
      <c r="M327">
        <f>IF(J327="","",IF(K327&lt;&gt;"",MAX(0,K327-J327),IF(AND(L327&lt;&gt;"Delivered",TODAY()&gt;J327),TODAY()-J327,0)))</f>
        <v/>
      </c>
    </row>
    <row r="328">
      <c r="M328">
        <f>IF(J328="","",IF(K328&lt;&gt;"",MAX(0,K328-J328),IF(AND(L328&lt;&gt;"Delivered",TODAY()&gt;J328),TODAY()-J328,0)))</f>
        <v/>
      </c>
    </row>
    <row r="329">
      <c r="M329">
        <f>IF(J329="","",IF(K329&lt;&gt;"",MAX(0,K329-J329),IF(AND(L329&lt;&gt;"Delivered",TODAY()&gt;J329),TODAY()-J329,0)))</f>
        <v/>
      </c>
    </row>
    <row r="330">
      <c r="M330">
        <f>IF(J330="","",IF(K330&lt;&gt;"",MAX(0,K330-J330),IF(AND(L330&lt;&gt;"Delivered",TODAY()&gt;J330),TODAY()-J330,0)))</f>
        <v/>
      </c>
    </row>
    <row r="331">
      <c r="M331">
        <f>IF(J331="","",IF(K331&lt;&gt;"",MAX(0,K331-J331),IF(AND(L331&lt;&gt;"Delivered",TODAY()&gt;J331),TODAY()-J331,0)))</f>
        <v/>
      </c>
    </row>
    <row r="332">
      <c r="M332">
        <f>IF(J332="","",IF(K332&lt;&gt;"",MAX(0,K332-J332),IF(AND(L332&lt;&gt;"Delivered",TODAY()&gt;J332),TODAY()-J332,0)))</f>
        <v/>
      </c>
    </row>
    <row r="333">
      <c r="M333">
        <f>IF(J333="","",IF(K333&lt;&gt;"",MAX(0,K333-J333),IF(AND(L333&lt;&gt;"Delivered",TODAY()&gt;J333),TODAY()-J333,0)))</f>
        <v/>
      </c>
    </row>
    <row r="334">
      <c r="M334">
        <f>IF(J334="","",IF(K334&lt;&gt;"",MAX(0,K334-J334),IF(AND(L334&lt;&gt;"Delivered",TODAY()&gt;J334),TODAY()-J334,0)))</f>
        <v/>
      </c>
    </row>
    <row r="335">
      <c r="M335">
        <f>IF(J335="","",IF(K335&lt;&gt;"",MAX(0,K335-J335),IF(AND(L335&lt;&gt;"Delivered",TODAY()&gt;J335),TODAY()-J335,0)))</f>
        <v/>
      </c>
    </row>
    <row r="336">
      <c r="M336">
        <f>IF(J336="","",IF(K336&lt;&gt;"",MAX(0,K336-J336),IF(AND(L336&lt;&gt;"Delivered",TODAY()&gt;J336),TODAY()-J336,0)))</f>
        <v/>
      </c>
    </row>
    <row r="337">
      <c r="M337">
        <f>IF(J337="","",IF(K337&lt;&gt;"",MAX(0,K337-J337),IF(AND(L337&lt;&gt;"Delivered",TODAY()&gt;J337),TODAY()-J337,0)))</f>
        <v/>
      </c>
    </row>
    <row r="338">
      <c r="M338">
        <f>IF(J338="","",IF(K338&lt;&gt;"",MAX(0,K338-J338),IF(AND(L338&lt;&gt;"Delivered",TODAY()&gt;J338),TODAY()-J338,0)))</f>
        <v/>
      </c>
    </row>
    <row r="339">
      <c r="M339">
        <f>IF(J339="","",IF(K339&lt;&gt;"",MAX(0,K339-J339),IF(AND(L339&lt;&gt;"Delivered",TODAY()&gt;J339),TODAY()-J339,0)))</f>
        <v/>
      </c>
    </row>
    <row r="340">
      <c r="M340">
        <f>IF(J340="","",IF(K340&lt;&gt;"",MAX(0,K340-J340),IF(AND(L340&lt;&gt;"Delivered",TODAY()&gt;J340),TODAY()-J340,0)))</f>
        <v/>
      </c>
    </row>
    <row r="341">
      <c r="M341">
        <f>IF(J341="","",IF(K341&lt;&gt;"",MAX(0,K341-J341),IF(AND(L341&lt;&gt;"Delivered",TODAY()&gt;J341),TODAY()-J341,0)))</f>
        <v/>
      </c>
    </row>
    <row r="342">
      <c r="M342">
        <f>IF(J342="","",IF(K342&lt;&gt;"",MAX(0,K342-J342),IF(AND(L342&lt;&gt;"Delivered",TODAY()&gt;J342),TODAY()-J342,0)))</f>
        <v/>
      </c>
    </row>
    <row r="343">
      <c r="M343">
        <f>IF(J343="","",IF(K343&lt;&gt;"",MAX(0,K343-J343),IF(AND(L343&lt;&gt;"Delivered",TODAY()&gt;J343),TODAY()-J343,0)))</f>
        <v/>
      </c>
    </row>
    <row r="344">
      <c r="M344">
        <f>IF(J344="","",IF(K344&lt;&gt;"",MAX(0,K344-J344),IF(AND(L344&lt;&gt;"Delivered",TODAY()&gt;J344),TODAY()-J344,0)))</f>
        <v/>
      </c>
    </row>
    <row r="345">
      <c r="M345">
        <f>IF(J345="","",IF(K345&lt;&gt;"",MAX(0,K345-J345),IF(AND(L345&lt;&gt;"Delivered",TODAY()&gt;J345),TODAY()-J345,0)))</f>
        <v/>
      </c>
    </row>
    <row r="346">
      <c r="M346">
        <f>IF(J346="","",IF(K346&lt;&gt;"",MAX(0,K346-J346),IF(AND(L346&lt;&gt;"Delivered",TODAY()&gt;J346),TODAY()-J346,0)))</f>
        <v/>
      </c>
    </row>
    <row r="347">
      <c r="M347">
        <f>IF(J347="","",IF(K347&lt;&gt;"",MAX(0,K347-J347),IF(AND(L347&lt;&gt;"Delivered",TODAY()&gt;J347),TODAY()-J347,0)))</f>
        <v/>
      </c>
    </row>
    <row r="348">
      <c r="M348">
        <f>IF(J348="","",IF(K348&lt;&gt;"",MAX(0,K348-J348),IF(AND(L348&lt;&gt;"Delivered",TODAY()&gt;J348),TODAY()-J348,0)))</f>
        <v/>
      </c>
    </row>
    <row r="349">
      <c r="M349">
        <f>IF(J349="","",IF(K349&lt;&gt;"",MAX(0,K349-J349),IF(AND(L349&lt;&gt;"Delivered",TODAY()&gt;J349),TODAY()-J349,0)))</f>
        <v/>
      </c>
    </row>
    <row r="350">
      <c r="M350">
        <f>IF(J350="","",IF(K350&lt;&gt;"",MAX(0,K350-J350),IF(AND(L350&lt;&gt;"Delivered",TODAY()&gt;J350),TODAY()-J350,0)))</f>
        <v/>
      </c>
    </row>
    <row r="351">
      <c r="M351">
        <f>IF(J351="","",IF(K351&lt;&gt;"",MAX(0,K351-J351),IF(AND(L351&lt;&gt;"Delivered",TODAY()&gt;J351),TODAY()-J351,0)))</f>
        <v/>
      </c>
    </row>
    <row r="352">
      <c r="M352">
        <f>IF(J352="","",IF(K352&lt;&gt;"",MAX(0,K352-J352),IF(AND(L352&lt;&gt;"Delivered",TODAY()&gt;J352),TODAY()-J352,0)))</f>
        <v/>
      </c>
    </row>
    <row r="353">
      <c r="M353">
        <f>IF(J353="","",IF(K353&lt;&gt;"",MAX(0,K353-J353),IF(AND(L353&lt;&gt;"Delivered",TODAY()&gt;J353),TODAY()-J353,0)))</f>
        <v/>
      </c>
    </row>
    <row r="354">
      <c r="M354">
        <f>IF(J354="","",IF(K354&lt;&gt;"",MAX(0,K354-J354),IF(AND(L354&lt;&gt;"Delivered",TODAY()&gt;J354),TODAY()-J354,0)))</f>
        <v/>
      </c>
    </row>
    <row r="355">
      <c r="M355">
        <f>IF(J355="","",IF(K355&lt;&gt;"",MAX(0,K355-J355),IF(AND(L355&lt;&gt;"Delivered",TODAY()&gt;J355),TODAY()-J355,0)))</f>
        <v/>
      </c>
    </row>
    <row r="356">
      <c r="M356">
        <f>IF(J356="","",IF(K356&lt;&gt;"",MAX(0,K356-J356),IF(AND(L356&lt;&gt;"Delivered",TODAY()&gt;J356),TODAY()-J356,0)))</f>
        <v/>
      </c>
    </row>
    <row r="357">
      <c r="M357">
        <f>IF(J357="","",IF(K357&lt;&gt;"",MAX(0,K357-J357),IF(AND(L357&lt;&gt;"Delivered",TODAY()&gt;J357),TODAY()-J357,0)))</f>
        <v/>
      </c>
    </row>
    <row r="358">
      <c r="M358">
        <f>IF(J358="","",IF(K358&lt;&gt;"",MAX(0,K358-J358),IF(AND(L358&lt;&gt;"Delivered",TODAY()&gt;J358),TODAY()-J358,0)))</f>
        <v/>
      </c>
    </row>
    <row r="359">
      <c r="M359">
        <f>IF(J359="","",IF(K359&lt;&gt;"",MAX(0,K359-J359),IF(AND(L359&lt;&gt;"Delivered",TODAY()&gt;J359),TODAY()-J359,0)))</f>
        <v/>
      </c>
    </row>
    <row r="360">
      <c r="M360">
        <f>IF(J360="","",IF(K360&lt;&gt;"",MAX(0,K360-J360),IF(AND(L360&lt;&gt;"Delivered",TODAY()&gt;J360),TODAY()-J360,0)))</f>
        <v/>
      </c>
    </row>
    <row r="361">
      <c r="M361">
        <f>IF(J361="","",IF(K361&lt;&gt;"",MAX(0,K361-J361),IF(AND(L361&lt;&gt;"Delivered",TODAY()&gt;J361),TODAY()-J361,0)))</f>
        <v/>
      </c>
    </row>
    <row r="362">
      <c r="M362">
        <f>IF(J362="","",IF(K362&lt;&gt;"",MAX(0,K362-J362),IF(AND(L362&lt;&gt;"Delivered",TODAY()&gt;J362),TODAY()-J362,0)))</f>
        <v/>
      </c>
    </row>
    <row r="363">
      <c r="M363">
        <f>IF(J363="","",IF(K363&lt;&gt;"",MAX(0,K363-J363),IF(AND(L363&lt;&gt;"Delivered",TODAY()&gt;J363),TODAY()-J363,0)))</f>
        <v/>
      </c>
    </row>
    <row r="364">
      <c r="M364">
        <f>IF(J364="","",IF(K364&lt;&gt;"",MAX(0,K364-J364),IF(AND(L364&lt;&gt;"Delivered",TODAY()&gt;J364),TODAY()-J364,0)))</f>
        <v/>
      </c>
    </row>
    <row r="365">
      <c r="M365">
        <f>IF(J365="","",IF(K365&lt;&gt;"",MAX(0,K365-J365),IF(AND(L365&lt;&gt;"Delivered",TODAY()&gt;J365),TODAY()-J365,0)))</f>
        <v/>
      </c>
    </row>
    <row r="366">
      <c r="M366">
        <f>IF(J366="","",IF(K366&lt;&gt;"",MAX(0,K366-J366),IF(AND(L366&lt;&gt;"Delivered",TODAY()&gt;J366),TODAY()-J366,0)))</f>
        <v/>
      </c>
    </row>
    <row r="367">
      <c r="M367">
        <f>IF(J367="","",IF(K367&lt;&gt;"",MAX(0,K367-J367),IF(AND(L367&lt;&gt;"Delivered",TODAY()&gt;J367),TODAY()-J367,0)))</f>
        <v/>
      </c>
    </row>
    <row r="368">
      <c r="M368">
        <f>IF(J368="","",IF(K368&lt;&gt;"",MAX(0,K368-J368),IF(AND(L368&lt;&gt;"Delivered",TODAY()&gt;J368),TODAY()-J368,0)))</f>
        <v/>
      </c>
    </row>
    <row r="369">
      <c r="M369">
        <f>IF(J369="","",IF(K369&lt;&gt;"",MAX(0,K369-J369),IF(AND(L369&lt;&gt;"Delivered",TODAY()&gt;J369),TODAY()-J369,0)))</f>
        <v/>
      </c>
    </row>
    <row r="370">
      <c r="M370">
        <f>IF(J370="","",IF(K370&lt;&gt;"",MAX(0,K370-J370),IF(AND(L370&lt;&gt;"Delivered",TODAY()&gt;J370),TODAY()-J370,0)))</f>
        <v/>
      </c>
    </row>
    <row r="371">
      <c r="M371">
        <f>IF(J371="","",IF(K371&lt;&gt;"",MAX(0,K371-J371),IF(AND(L371&lt;&gt;"Delivered",TODAY()&gt;J371),TODAY()-J371,0)))</f>
        <v/>
      </c>
    </row>
    <row r="372">
      <c r="M372">
        <f>IF(J372="","",IF(K372&lt;&gt;"",MAX(0,K372-J372),IF(AND(L372&lt;&gt;"Delivered",TODAY()&gt;J372),TODAY()-J372,0)))</f>
        <v/>
      </c>
    </row>
    <row r="373">
      <c r="M373">
        <f>IF(J373="","",IF(K373&lt;&gt;"",MAX(0,K373-J373),IF(AND(L373&lt;&gt;"Delivered",TODAY()&gt;J373),TODAY()-J373,0)))</f>
        <v/>
      </c>
    </row>
    <row r="374">
      <c r="M374">
        <f>IF(J374="","",IF(K374&lt;&gt;"",MAX(0,K374-J374),IF(AND(L374&lt;&gt;"Delivered",TODAY()&gt;J374),TODAY()-J374,0)))</f>
        <v/>
      </c>
    </row>
    <row r="375">
      <c r="M375">
        <f>IF(J375="","",IF(K375&lt;&gt;"",MAX(0,K375-J375),IF(AND(L375&lt;&gt;"Delivered",TODAY()&gt;J375),TODAY()-J375,0)))</f>
        <v/>
      </c>
    </row>
    <row r="376">
      <c r="M376">
        <f>IF(J376="","",IF(K376&lt;&gt;"",MAX(0,K376-J376),IF(AND(L376&lt;&gt;"Delivered",TODAY()&gt;J376),TODAY()-J376,0)))</f>
        <v/>
      </c>
    </row>
    <row r="377">
      <c r="M377">
        <f>IF(J377="","",IF(K377&lt;&gt;"",MAX(0,K377-J377),IF(AND(L377&lt;&gt;"Delivered",TODAY()&gt;J377),TODAY()-J377,0)))</f>
        <v/>
      </c>
    </row>
    <row r="378">
      <c r="M378">
        <f>IF(J378="","",IF(K378&lt;&gt;"",MAX(0,K378-J378),IF(AND(L378&lt;&gt;"Delivered",TODAY()&gt;J378),TODAY()-J378,0)))</f>
        <v/>
      </c>
    </row>
    <row r="379">
      <c r="M379">
        <f>IF(J379="","",IF(K379&lt;&gt;"",MAX(0,K379-J379),IF(AND(L379&lt;&gt;"Delivered",TODAY()&gt;J379),TODAY()-J379,0)))</f>
        <v/>
      </c>
    </row>
    <row r="380">
      <c r="M380">
        <f>IF(J380="","",IF(K380&lt;&gt;"",MAX(0,K380-J380),IF(AND(L380&lt;&gt;"Delivered",TODAY()&gt;J380),TODAY()-J380,0)))</f>
        <v/>
      </c>
    </row>
    <row r="381">
      <c r="M381">
        <f>IF(J381="","",IF(K381&lt;&gt;"",MAX(0,K381-J381),IF(AND(L381&lt;&gt;"Delivered",TODAY()&gt;J381),TODAY()-J381,0)))</f>
        <v/>
      </c>
    </row>
    <row r="382">
      <c r="M382">
        <f>IF(J382="","",IF(K382&lt;&gt;"",MAX(0,K382-J382),IF(AND(L382&lt;&gt;"Delivered",TODAY()&gt;J382),TODAY()-J382,0)))</f>
        <v/>
      </c>
    </row>
    <row r="383">
      <c r="M383">
        <f>IF(J383="","",IF(K383&lt;&gt;"",MAX(0,K383-J383),IF(AND(L383&lt;&gt;"Delivered",TODAY()&gt;J383),TODAY()-J383,0)))</f>
        <v/>
      </c>
    </row>
    <row r="384">
      <c r="M384">
        <f>IF(J384="","",IF(K384&lt;&gt;"",MAX(0,K384-J384),IF(AND(L384&lt;&gt;"Delivered",TODAY()&gt;J384),TODAY()-J384,0)))</f>
        <v/>
      </c>
    </row>
    <row r="385">
      <c r="M385">
        <f>IF(J385="","",IF(K385&lt;&gt;"",MAX(0,K385-J385),IF(AND(L385&lt;&gt;"Delivered",TODAY()&gt;J385),TODAY()-J385,0)))</f>
        <v/>
      </c>
    </row>
    <row r="386">
      <c r="M386">
        <f>IF(J386="","",IF(K386&lt;&gt;"",MAX(0,K386-J386),IF(AND(L386&lt;&gt;"Delivered",TODAY()&gt;J386),TODAY()-J386,0)))</f>
        <v/>
      </c>
    </row>
    <row r="387">
      <c r="M387">
        <f>IF(J387="","",IF(K387&lt;&gt;"",MAX(0,K387-J387),IF(AND(L387&lt;&gt;"Delivered",TODAY()&gt;J387),TODAY()-J387,0)))</f>
        <v/>
      </c>
    </row>
    <row r="388">
      <c r="M388">
        <f>IF(J388="","",IF(K388&lt;&gt;"",MAX(0,K388-J388),IF(AND(L388&lt;&gt;"Delivered",TODAY()&gt;J388),TODAY()-J388,0)))</f>
        <v/>
      </c>
    </row>
    <row r="389">
      <c r="M389">
        <f>IF(J389="","",IF(K389&lt;&gt;"",MAX(0,K389-J389),IF(AND(L389&lt;&gt;"Delivered",TODAY()&gt;J389),TODAY()-J389,0)))</f>
        <v/>
      </c>
    </row>
    <row r="390">
      <c r="M390">
        <f>IF(J390="","",IF(K390&lt;&gt;"",MAX(0,K390-J390),IF(AND(L390&lt;&gt;"Delivered",TODAY()&gt;J390),TODAY()-J390,0)))</f>
        <v/>
      </c>
    </row>
    <row r="391">
      <c r="M391">
        <f>IF(J391="","",IF(K391&lt;&gt;"",MAX(0,K391-J391),IF(AND(L391&lt;&gt;"Delivered",TODAY()&gt;J391),TODAY()-J391,0)))</f>
        <v/>
      </c>
    </row>
    <row r="392">
      <c r="M392">
        <f>IF(J392="","",IF(K392&lt;&gt;"",MAX(0,K392-J392),IF(AND(L392&lt;&gt;"Delivered",TODAY()&gt;J392),TODAY()-J392,0)))</f>
        <v/>
      </c>
    </row>
    <row r="393">
      <c r="M393">
        <f>IF(J393="","",IF(K393&lt;&gt;"",MAX(0,K393-J393),IF(AND(L393&lt;&gt;"Delivered",TODAY()&gt;J393),TODAY()-J393,0)))</f>
        <v/>
      </c>
    </row>
    <row r="394">
      <c r="M394">
        <f>IF(J394="","",IF(K394&lt;&gt;"",MAX(0,K394-J394),IF(AND(L394&lt;&gt;"Delivered",TODAY()&gt;J394),TODAY()-J394,0)))</f>
        <v/>
      </c>
    </row>
    <row r="395">
      <c r="M395">
        <f>IF(J395="","",IF(K395&lt;&gt;"",MAX(0,K395-J395),IF(AND(L395&lt;&gt;"Delivered",TODAY()&gt;J395),TODAY()-J395,0)))</f>
        <v/>
      </c>
    </row>
    <row r="396">
      <c r="M396">
        <f>IF(J396="","",IF(K396&lt;&gt;"",MAX(0,K396-J396),IF(AND(L396&lt;&gt;"Delivered",TODAY()&gt;J396),TODAY()-J396,0)))</f>
        <v/>
      </c>
    </row>
    <row r="397">
      <c r="M397">
        <f>IF(J397="","",IF(K397&lt;&gt;"",MAX(0,K397-J397),IF(AND(L397&lt;&gt;"Delivered",TODAY()&gt;J397),TODAY()-J397,0)))</f>
        <v/>
      </c>
    </row>
    <row r="398">
      <c r="M398">
        <f>IF(J398="","",IF(K398&lt;&gt;"",MAX(0,K398-J398),IF(AND(L398&lt;&gt;"Delivered",TODAY()&gt;J398),TODAY()-J398,0)))</f>
        <v/>
      </c>
    </row>
    <row r="399">
      <c r="M399">
        <f>IF(J399="","",IF(K399&lt;&gt;"",MAX(0,K399-J399),IF(AND(L399&lt;&gt;"Delivered",TODAY()&gt;J399),TODAY()-J399,0)))</f>
        <v/>
      </c>
    </row>
    <row r="400">
      <c r="M400">
        <f>IF(J400="","",IF(K400&lt;&gt;"",MAX(0,K400-J400),IF(AND(L400&lt;&gt;"Delivered",TODAY()&gt;J400),TODAY()-J400,0)))</f>
        <v/>
      </c>
    </row>
    <row r="401">
      <c r="M401">
        <f>IF(J401="","",IF(K401&lt;&gt;"",MAX(0,K401-J401),IF(AND(L401&lt;&gt;"Delivered",TODAY()&gt;J401),TODAY()-J401,0)))</f>
        <v/>
      </c>
    </row>
    <row r="402">
      <c r="M402">
        <f>IF(J402="","",IF(K402&lt;&gt;"",MAX(0,K402-J402),IF(AND(L402&lt;&gt;"Delivered",TODAY()&gt;J402),TODAY()-J402,0)))</f>
        <v/>
      </c>
    </row>
    <row r="403">
      <c r="M403">
        <f>IF(J403="","",IF(K403&lt;&gt;"",MAX(0,K403-J403),IF(AND(L403&lt;&gt;"Delivered",TODAY()&gt;J403),TODAY()-J403,0)))</f>
        <v/>
      </c>
    </row>
    <row r="404">
      <c r="M404">
        <f>IF(J404="","",IF(K404&lt;&gt;"",MAX(0,K404-J404),IF(AND(L404&lt;&gt;"Delivered",TODAY()&gt;J404),TODAY()-J404,0)))</f>
        <v/>
      </c>
    </row>
    <row r="405">
      <c r="M405">
        <f>IF(J405="","",IF(K405&lt;&gt;"",MAX(0,K405-J405),IF(AND(L405&lt;&gt;"Delivered",TODAY()&gt;J405),TODAY()-J405,0)))</f>
        <v/>
      </c>
    </row>
    <row r="406">
      <c r="M406">
        <f>IF(J406="","",IF(K406&lt;&gt;"",MAX(0,K406-J406),IF(AND(L406&lt;&gt;"Delivered",TODAY()&gt;J406),TODAY()-J406,0)))</f>
        <v/>
      </c>
    </row>
    <row r="407">
      <c r="M407">
        <f>IF(J407="","",IF(K407&lt;&gt;"",MAX(0,K407-J407),IF(AND(L407&lt;&gt;"Delivered",TODAY()&gt;J407),TODAY()-J407,0)))</f>
        <v/>
      </c>
    </row>
    <row r="408">
      <c r="M408">
        <f>IF(J408="","",IF(K408&lt;&gt;"",MAX(0,K408-J408),IF(AND(L408&lt;&gt;"Delivered",TODAY()&gt;J408),TODAY()-J408,0)))</f>
        <v/>
      </c>
    </row>
    <row r="409">
      <c r="M409">
        <f>IF(J409="","",IF(K409&lt;&gt;"",MAX(0,K409-J409),IF(AND(L409&lt;&gt;"Delivered",TODAY()&gt;J409),TODAY()-J409,0)))</f>
        <v/>
      </c>
    </row>
    <row r="410">
      <c r="M410">
        <f>IF(J410="","",IF(K410&lt;&gt;"",MAX(0,K410-J410),IF(AND(L410&lt;&gt;"Delivered",TODAY()&gt;J410),TODAY()-J410,0)))</f>
        <v/>
      </c>
    </row>
    <row r="411">
      <c r="M411">
        <f>IF(J411="","",IF(K411&lt;&gt;"",MAX(0,K411-J411),IF(AND(L411&lt;&gt;"Delivered",TODAY()&gt;J411),TODAY()-J411,0)))</f>
        <v/>
      </c>
    </row>
    <row r="412">
      <c r="M412">
        <f>IF(J412="","",IF(K412&lt;&gt;"",MAX(0,K412-J412),IF(AND(L412&lt;&gt;"Delivered",TODAY()&gt;J412),TODAY()-J412,0)))</f>
        <v/>
      </c>
    </row>
    <row r="413">
      <c r="M413">
        <f>IF(J413="","",IF(K413&lt;&gt;"",MAX(0,K413-J413),IF(AND(L413&lt;&gt;"Delivered",TODAY()&gt;J413),TODAY()-J413,0)))</f>
        <v/>
      </c>
    </row>
    <row r="414">
      <c r="M414">
        <f>IF(J414="","",IF(K414&lt;&gt;"",MAX(0,K414-J414),IF(AND(L414&lt;&gt;"Delivered",TODAY()&gt;J414),TODAY()-J414,0)))</f>
        <v/>
      </c>
    </row>
    <row r="415">
      <c r="M415">
        <f>IF(J415="","",IF(K415&lt;&gt;"",MAX(0,K415-J415),IF(AND(L415&lt;&gt;"Delivered",TODAY()&gt;J415),TODAY()-J415,0)))</f>
        <v/>
      </c>
    </row>
    <row r="416">
      <c r="M416">
        <f>IF(J416="","",IF(K416&lt;&gt;"",MAX(0,K416-J416),IF(AND(L416&lt;&gt;"Delivered",TODAY()&gt;J416),TODAY()-J416,0)))</f>
        <v/>
      </c>
    </row>
    <row r="417">
      <c r="M417">
        <f>IF(J417="","",IF(K417&lt;&gt;"",MAX(0,K417-J417),IF(AND(L417&lt;&gt;"Delivered",TODAY()&gt;J417),TODAY()-J417,0)))</f>
        <v/>
      </c>
    </row>
    <row r="418">
      <c r="M418">
        <f>IF(J418="","",IF(K418&lt;&gt;"",MAX(0,K418-J418),IF(AND(L418&lt;&gt;"Delivered",TODAY()&gt;J418),TODAY()-J418,0)))</f>
        <v/>
      </c>
    </row>
    <row r="419">
      <c r="M419">
        <f>IF(J419="","",IF(K419&lt;&gt;"",MAX(0,K419-J419),IF(AND(L419&lt;&gt;"Delivered",TODAY()&gt;J419),TODAY()-J419,0)))</f>
        <v/>
      </c>
    </row>
    <row r="420">
      <c r="M420">
        <f>IF(J420="","",IF(K420&lt;&gt;"",MAX(0,K420-J420),IF(AND(L420&lt;&gt;"Delivered",TODAY()&gt;J420),TODAY()-J420,0)))</f>
        <v/>
      </c>
    </row>
    <row r="421">
      <c r="M421">
        <f>IF(J421="","",IF(K421&lt;&gt;"",MAX(0,K421-J421),IF(AND(L421&lt;&gt;"Delivered",TODAY()&gt;J421),TODAY()-J421,0)))</f>
        <v/>
      </c>
    </row>
    <row r="422">
      <c r="M422">
        <f>IF(J422="","",IF(K422&lt;&gt;"",MAX(0,K422-J422),IF(AND(L422&lt;&gt;"Delivered",TODAY()&gt;J422),TODAY()-J422,0)))</f>
        <v/>
      </c>
    </row>
    <row r="423">
      <c r="M423">
        <f>IF(J423="","",IF(K423&lt;&gt;"",MAX(0,K423-J423),IF(AND(L423&lt;&gt;"Delivered",TODAY()&gt;J423),TODAY()-J423,0)))</f>
        <v/>
      </c>
    </row>
    <row r="424">
      <c r="M424">
        <f>IF(J424="","",IF(K424&lt;&gt;"",MAX(0,K424-J424),IF(AND(L424&lt;&gt;"Delivered",TODAY()&gt;J424),TODAY()-J424,0)))</f>
        <v/>
      </c>
    </row>
    <row r="425">
      <c r="M425">
        <f>IF(J425="","",IF(K425&lt;&gt;"",MAX(0,K425-J425),IF(AND(L425&lt;&gt;"Delivered",TODAY()&gt;J425),TODAY()-J425,0)))</f>
        <v/>
      </c>
    </row>
    <row r="426">
      <c r="M426">
        <f>IF(J426="","",IF(K426&lt;&gt;"",MAX(0,K426-J426),IF(AND(L426&lt;&gt;"Delivered",TODAY()&gt;J426),TODAY()-J426,0)))</f>
        <v/>
      </c>
    </row>
    <row r="427">
      <c r="M427">
        <f>IF(J427="","",IF(K427&lt;&gt;"",MAX(0,K427-J427),IF(AND(L427&lt;&gt;"Delivered",TODAY()&gt;J427),TODAY()-J427,0)))</f>
        <v/>
      </c>
    </row>
    <row r="428">
      <c r="M428">
        <f>IF(J428="","",IF(K428&lt;&gt;"",MAX(0,K428-J428),IF(AND(L428&lt;&gt;"Delivered",TODAY()&gt;J428),TODAY()-J428,0)))</f>
        <v/>
      </c>
    </row>
    <row r="429">
      <c r="M429">
        <f>IF(J429="","",IF(K429&lt;&gt;"",MAX(0,K429-J429),IF(AND(L429&lt;&gt;"Delivered",TODAY()&gt;J429),TODAY()-J429,0)))</f>
        <v/>
      </c>
    </row>
    <row r="430">
      <c r="M430">
        <f>IF(J430="","",IF(K430&lt;&gt;"",MAX(0,K430-J430),IF(AND(L430&lt;&gt;"Delivered",TODAY()&gt;J430),TODAY()-J430,0)))</f>
        <v/>
      </c>
    </row>
    <row r="431">
      <c r="M431">
        <f>IF(J431="","",IF(K431&lt;&gt;"",MAX(0,K431-J431),IF(AND(L431&lt;&gt;"Delivered",TODAY()&gt;J431),TODAY()-J431,0)))</f>
        <v/>
      </c>
    </row>
    <row r="432">
      <c r="M432">
        <f>IF(J432="","",IF(K432&lt;&gt;"",MAX(0,K432-J432),IF(AND(L432&lt;&gt;"Delivered",TODAY()&gt;J432),TODAY()-J432,0)))</f>
        <v/>
      </c>
    </row>
    <row r="433">
      <c r="M433">
        <f>IF(J433="","",IF(K433&lt;&gt;"",MAX(0,K433-J433),IF(AND(L433&lt;&gt;"Delivered",TODAY()&gt;J433),TODAY()-J433,0)))</f>
        <v/>
      </c>
    </row>
    <row r="434">
      <c r="M434">
        <f>IF(J434="","",IF(K434&lt;&gt;"",MAX(0,K434-J434),IF(AND(L434&lt;&gt;"Delivered",TODAY()&gt;J434),TODAY()-J434,0)))</f>
        <v/>
      </c>
    </row>
    <row r="435">
      <c r="M435">
        <f>IF(J435="","",IF(K435&lt;&gt;"",MAX(0,K435-J435),IF(AND(L435&lt;&gt;"Delivered",TODAY()&gt;J435),TODAY()-J435,0)))</f>
        <v/>
      </c>
    </row>
    <row r="436">
      <c r="M436">
        <f>IF(J436="","",IF(K436&lt;&gt;"",MAX(0,K436-J436),IF(AND(L436&lt;&gt;"Delivered",TODAY()&gt;J436),TODAY()-J436,0)))</f>
        <v/>
      </c>
    </row>
    <row r="437">
      <c r="M437">
        <f>IF(J437="","",IF(K437&lt;&gt;"",MAX(0,K437-J437),IF(AND(L437&lt;&gt;"Delivered",TODAY()&gt;J437),TODAY()-J437,0)))</f>
        <v/>
      </c>
    </row>
    <row r="438">
      <c r="M438">
        <f>IF(J438="","",IF(K438&lt;&gt;"",MAX(0,K438-J438),IF(AND(L438&lt;&gt;"Delivered",TODAY()&gt;J438),TODAY()-J438,0)))</f>
        <v/>
      </c>
    </row>
    <row r="439">
      <c r="M439">
        <f>IF(J439="","",IF(K439&lt;&gt;"",MAX(0,K439-J439),IF(AND(L439&lt;&gt;"Delivered",TODAY()&gt;J439),TODAY()-J439,0)))</f>
        <v/>
      </c>
    </row>
    <row r="440">
      <c r="M440">
        <f>IF(J440="","",IF(K440&lt;&gt;"",MAX(0,K440-J440),IF(AND(L440&lt;&gt;"Delivered",TODAY()&gt;J440),TODAY()-J440,0)))</f>
        <v/>
      </c>
    </row>
    <row r="441">
      <c r="M441">
        <f>IF(J441="","",IF(K441&lt;&gt;"",MAX(0,K441-J441),IF(AND(L441&lt;&gt;"Delivered",TODAY()&gt;J441),TODAY()-J441,0)))</f>
        <v/>
      </c>
    </row>
    <row r="442">
      <c r="M442">
        <f>IF(J442="","",IF(K442&lt;&gt;"",MAX(0,K442-J442),IF(AND(L442&lt;&gt;"Delivered",TODAY()&gt;J442),TODAY()-J442,0)))</f>
        <v/>
      </c>
    </row>
    <row r="443">
      <c r="M443">
        <f>IF(J443="","",IF(K443&lt;&gt;"",MAX(0,K443-J443),IF(AND(L443&lt;&gt;"Delivered",TODAY()&gt;J443),TODAY()-J443,0)))</f>
        <v/>
      </c>
    </row>
    <row r="444">
      <c r="M444">
        <f>IF(J444="","",IF(K444&lt;&gt;"",MAX(0,K444-J444),IF(AND(L444&lt;&gt;"Delivered",TODAY()&gt;J444),TODAY()-J444,0)))</f>
        <v/>
      </c>
    </row>
    <row r="445">
      <c r="M445">
        <f>IF(J445="","",IF(K445&lt;&gt;"",MAX(0,K445-J445),IF(AND(L445&lt;&gt;"Delivered",TODAY()&gt;J445),TODAY()-J445,0)))</f>
        <v/>
      </c>
    </row>
    <row r="446">
      <c r="M446">
        <f>IF(J446="","",IF(K446&lt;&gt;"",MAX(0,K446-J446),IF(AND(L446&lt;&gt;"Delivered",TODAY()&gt;J446),TODAY()-J446,0)))</f>
        <v/>
      </c>
    </row>
    <row r="447">
      <c r="M447">
        <f>IF(J447="","",IF(K447&lt;&gt;"",MAX(0,K447-J447),IF(AND(L447&lt;&gt;"Delivered",TODAY()&gt;J447),TODAY()-J447,0)))</f>
        <v/>
      </c>
    </row>
    <row r="448">
      <c r="M448">
        <f>IF(J448="","",IF(K448&lt;&gt;"",MAX(0,K448-J448),IF(AND(L448&lt;&gt;"Delivered",TODAY()&gt;J448),TODAY()-J448,0)))</f>
        <v/>
      </c>
    </row>
    <row r="449">
      <c r="M449">
        <f>IF(J449="","",IF(K449&lt;&gt;"",MAX(0,K449-J449),IF(AND(L449&lt;&gt;"Delivered",TODAY()&gt;J449),TODAY()-J449,0)))</f>
        <v/>
      </c>
    </row>
    <row r="450">
      <c r="M450">
        <f>IF(J450="","",IF(K450&lt;&gt;"",MAX(0,K450-J450),IF(AND(L450&lt;&gt;"Delivered",TODAY()&gt;J450),TODAY()-J450,0)))</f>
        <v/>
      </c>
    </row>
    <row r="451">
      <c r="M451">
        <f>IF(J451="","",IF(K451&lt;&gt;"",MAX(0,K451-J451),IF(AND(L451&lt;&gt;"Delivered",TODAY()&gt;J451),TODAY()-J451,0)))</f>
        <v/>
      </c>
    </row>
    <row r="452">
      <c r="M452">
        <f>IF(J452="","",IF(K452&lt;&gt;"",MAX(0,K452-J452),IF(AND(L452&lt;&gt;"Delivered",TODAY()&gt;J452),TODAY()-J452,0)))</f>
        <v/>
      </c>
    </row>
    <row r="453">
      <c r="M453">
        <f>IF(J453="","",IF(K453&lt;&gt;"",MAX(0,K453-J453),IF(AND(L453&lt;&gt;"Delivered",TODAY()&gt;J453),TODAY()-J453,0)))</f>
        <v/>
      </c>
    </row>
    <row r="454">
      <c r="M454">
        <f>IF(J454="","",IF(K454&lt;&gt;"",MAX(0,K454-J454),IF(AND(L454&lt;&gt;"Delivered",TODAY()&gt;J454),TODAY()-J454,0)))</f>
        <v/>
      </c>
    </row>
    <row r="455">
      <c r="M455">
        <f>IF(J455="","",IF(K455&lt;&gt;"",MAX(0,K455-J455),IF(AND(L455&lt;&gt;"Delivered",TODAY()&gt;J455),TODAY()-J455,0)))</f>
        <v/>
      </c>
    </row>
    <row r="456">
      <c r="M456">
        <f>IF(J456="","",IF(K456&lt;&gt;"",MAX(0,K456-J456),IF(AND(L456&lt;&gt;"Delivered",TODAY()&gt;J456),TODAY()-J456,0)))</f>
        <v/>
      </c>
    </row>
    <row r="457">
      <c r="M457">
        <f>IF(J457="","",IF(K457&lt;&gt;"",MAX(0,K457-J457),IF(AND(L457&lt;&gt;"Delivered",TODAY()&gt;J457),TODAY()-J457,0)))</f>
        <v/>
      </c>
    </row>
    <row r="458">
      <c r="M458">
        <f>IF(J458="","",IF(K458&lt;&gt;"",MAX(0,K458-J458),IF(AND(L458&lt;&gt;"Delivered",TODAY()&gt;J458),TODAY()-J458,0)))</f>
        <v/>
      </c>
    </row>
    <row r="459">
      <c r="M459">
        <f>IF(J459="","",IF(K459&lt;&gt;"",MAX(0,K459-J459),IF(AND(L459&lt;&gt;"Delivered",TODAY()&gt;J459),TODAY()-J459,0)))</f>
        <v/>
      </c>
    </row>
    <row r="460">
      <c r="M460">
        <f>IF(J460="","",IF(K460&lt;&gt;"",MAX(0,K460-J460),IF(AND(L460&lt;&gt;"Delivered",TODAY()&gt;J460),TODAY()-J460,0)))</f>
        <v/>
      </c>
    </row>
    <row r="461">
      <c r="M461">
        <f>IF(J461="","",IF(K461&lt;&gt;"",MAX(0,K461-J461),IF(AND(L461&lt;&gt;"Delivered",TODAY()&gt;J461),TODAY()-J461,0)))</f>
        <v/>
      </c>
    </row>
    <row r="462">
      <c r="M462">
        <f>IF(J462="","",IF(K462&lt;&gt;"",MAX(0,K462-J462),IF(AND(L462&lt;&gt;"Delivered",TODAY()&gt;J462),TODAY()-J462,0)))</f>
        <v/>
      </c>
    </row>
    <row r="463">
      <c r="M463">
        <f>IF(J463="","",IF(K463&lt;&gt;"",MAX(0,K463-J463),IF(AND(L463&lt;&gt;"Delivered",TODAY()&gt;J463),TODAY()-J463,0)))</f>
        <v/>
      </c>
    </row>
    <row r="464">
      <c r="M464">
        <f>IF(J464="","",IF(K464&lt;&gt;"",MAX(0,K464-J464),IF(AND(L464&lt;&gt;"Delivered",TODAY()&gt;J464),TODAY()-J464,0)))</f>
        <v/>
      </c>
    </row>
    <row r="465">
      <c r="M465">
        <f>IF(J465="","",IF(K465&lt;&gt;"",MAX(0,K465-J465),IF(AND(L465&lt;&gt;"Delivered",TODAY()&gt;J465),TODAY()-J465,0)))</f>
        <v/>
      </c>
    </row>
    <row r="466">
      <c r="M466">
        <f>IF(J466="","",IF(K466&lt;&gt;"",MAX(0,K466-J466),IF(AND(L466&lt;&gt;"Delivered",TODAY()&gt;J466),TODAY()-J466,0)))</f>
        <v/>
      </c>
    </row>
    <row r="467">
      <c r="M467">
        <f>IF(J467="","",IF(K467&lt;&gt;"",MAX(0,K467-J467),IF(AND(L467&lt;&gt;"Delivered",TODAY()&gt;J467),TODAY()-J467,0)))</f>
        <v/>
      </c>
    </row>
    <row r="468">
      <c r="M468">
        <f>IF(J468="","",IF(K468&lt;&gt;"",MAX(0,K468-J468),IF(AND(L468&lt;&gt;"Delivered",TODAY()&gt;J468),TODAY()-J468,0)))</f>
        <v/>
      </c>
    </row>
    <row r="469">
      <c r="M469">
        <f>IF(J469="","",IF(K469&lt;&gt;"",MAX(0,K469-J469),IF(AND(L469&lt;&gt;"Delivered",TODAY()&gt;J469),TODAY()-J469,0)))</f>
        <v/>
      </c>
    </row>
    <row r="470">
      <c r="M470">
        <f>IF(J470="","",IF(K470&lt;&gt;"",MAX(0,K470-J470),IF(AND(L470&lt;&gt;"Delivered",TODAY()&gt;J470),TODAY()-J470,0)))</f>
        <v/>
      </c>
    </row>
    <row r="471">
      <c r="M471">
        <f>IF(J471="","",IF(K471&lt;&gt;"",MAX(0,K471-J471),IF(AND(L471&lt;&gt;"Delivered",TODAY()&gt;J471),TODAY()-J471,0)))</f>
        <v/>
      </c>
    </row>
    <row r="472">
      <c r="M472">
        <f>IF(J472="","",IF(K472&lt;&gt;"",MAX(0,K472-J472),IF(AND(L472&lt;&gt;"Delivered",TODAY()&gt;J472),TODAY()-J472,0)))</f>
        <v/>
      </c>
    </row>
    <row r="473">
      <c r="M473">
        <f>IF(J473="","",IF(K473&lt;&gt;"",MAX(0,K473-J473),IF(AND(L473&lt;&gt;"Delivered",TODAY()&gt;J473),TODAY()-J473,0)))</f>
        <v/>
      </c>
    </row>
    <row r="474">
      <c r="M474">
        <f>IF(J474="","",IF(K474&lt;&gt;"",MAX(0,K474-J474),IF(AND(L474&lt;&gt;"Delivered",TODAY()&gt;J474),TODAY()-J474,0)))</f>
        <v/>
      </c>
    </row>
    <row r="475">
      <c r="M475">
        <f>IF(J475="","",IF(K475&lt;&gt;"",MAX(0,K475-J475),IF(AND(L475&lt;&gt;"Delivered",TODAY()&gt;J475),TODAY()-J475,0)))</f>
        <v/>
      </c>
    </row>
    <row r="476">
      <c r="M476">
        <f>IF(J476="","",IF(K476&lt;&gt;"",MAX(0,K476-J476),IF(AND(L476&lt;&gt;"Delivered",TODAY()&gt;J476),TODAY()-J476,0)))</f>
        <v/>
      </c>
    </row>
    <row r="477">
      <c r="M477">
        <f>IF(J477="","",IF(K477&lt;&gt;"",MAX(0,K477-J477),IF(AND(L477&lt;&gt;"Delivered",TODAY()&gt;J477),TODAY()-J477,0)))</f>
        <v/>
      </c>
    </row>
    <row r="478">
      <c r="M478">
        <f>IF(J478="","",IF(K478&lt;&gt;"",MAX(0,K478-J478),IF(AND(L478&lt;&gt;"Delivered",TODAY()&gt;J478),TODAY()-J478,0)))</f>
        <v/>
      </c>
    </row>
    <row r="479">
      <c r="M479">
        <f>IF(J479="","",IF(K479&lt;&gt;"",MAX(0,K479-J479),IF(AND(L479&lt;&gt;"Delivered",TODAY()&gt;J479),TODAY()-J479,0)))</f>
        <v/>
      </c>
    </row>
    <row r="480">
      <c r="M480">
        <f>IF(J480="","",IF(K480&lt;&gt;"",MAX(0,K480-J480),IF(AND(L480&lt;&gt;"Delivered",TODAY()&gt;J480),TODAY()-J480,0)))</f>
        <v/>
      </c>
    </row>
    <row r="481">
      <c r="M481">
        <f>IF(J481="","",IF(K481&lt;&gt;"",MAX(0,K481-J481),IF(AND(L481&lt;&gt;"Delivered",TODAY()&gt;J481),TODAY()-J481,0)))</f>
        <v/>
      </c>
    </row>
    <row r="482">
      <c r="M482">
        <f>IF(J482="","",IF(K482&lt;&gt;"",MAX(0,K482-J482),IF(AND(L482&lt;&gt;"Delivered",TODAY()&gt;J482),TODAY()-J482,0)))</f>
        <v/>
      </c>
    </row>
    <row r="483">
      <c r="M483">
        <f>IF(J483="","",IF(K483&lt;&gt;"",MAX(0,K483-J483),IF(AND(L483&lt;&gt;"Delivered",TODAY()&gt;J483),TODAY()-J483,0)))</f>
        <v/>
      </c>
    </row>
    <row r="484">
      <c r="M484">
        <f>IF(J484="","",IF(K484&lt;&gt;"",MAX(0,K484-J484),IF(AND(L484&lt;&gt;"Delivered",TODAY()&gt;J484),TODAY()-J484,0)))</f>
        <v/>
      </c>
    </row>
    <row r="485">
      <c r="M485">
        <f>IF(J485="","",IF(K485&lt;&gt;"",MAX(0,K485-J485),IF(AND(L485&lt;&gt;"Delivered",TODAY()&gt;J485),TODAY()-J485,0)))</f>
        <v/>
      </c>
    </row>
    <row r="486">
      <c r="M486">
        <f>IF(J486="","",IF(K486&lt;&gt;"",MAX(0,K486-J486),IF(AND(L486&lt;&gt;"Delivered",TODAY()&gt;J486),TODAY()-J486,0)))</f>
        <v/>
      </c>
    </row>
    <row r="487">
      <c r="M487">
        <f>IF(J487="","",IF(K487&lt;&gt;"",MAX(0,K487-J487),IF(AND(L487&lt;&gt;"Delivered",TODAY()&gt;J487),TODAY()-J487,0)))</f>
        <v/>
      </c>
    </row>
    <row r="488">
      <c r="M488">
        <f>IF(J488="","",IF(K488&lt;&gt;"",MAX(0,K488-J488),IF(AND(L488&lt;&gt;"Delivered",TODAY()&gt;J488),TODAY()-J488,0)))</f>
        <v/>
      </c>
    </row>
    <row r="489">
      <c r="M489">
        <f>IF(J489="","",IF(K489&lt;&gt;"",MAX(0,K489-J489),IF(AND(L489&lt;&gt;"Delivered",TODAY()&gt;J489),TODAY()-J489,0)))</f>
        <v/>
      </c>
    </row>
    <row r="490">
      <c r="M490">
        <f>IF(J490="","",IF(K490&lt;&gt;"",MAX(0,K490-J490),IF(AND(L490&lt;&gt;"Delivered",TODAY()&gt;J490),TODAY()-J490,0)))</f>
        <v/>
      </c>
    </row>
    <row r="491">
      <c r="M491">
        <f>IF(J491="","",IF(K491&lt;&gt;"",MAX(0,K491-J491),IF(AND(L491&lt;&gt;"Delivered",TODAY()&gt;J491),TODAY()-J491,0)))</f>
        <v/>
      </c>
    </row>
    <row r="492">
      <c r="M492">
        <f>IF(J492="","",IF(K492&lt;&gt;"",MAX(0,K492-J492),IF(AND(L492&lt;&gt;"Delivered",TODAY()&gt;J492),TODAY()-J492,0)))</f>
        <v/>
      </c>
    </row>
    <row r="493">
      <c r="M493">
        <f>IF(J493="","",IF(K493&lt;&gt;"",MAX(0,K493-J493),IF(AND(L493&lt;&gt;"Delivered",TODAY()&gt;J493),TODAY()-J493,0)))</f>
        <v/>
      </c>
    </row>
    <row r="494">
      <c r="M494">
        <f>IF(J494="","",IF(K494&lt;&gt;"",MAX(0,K494-J494),IF(AND(L494&lt;&gt;"Delivered",TODAY()&gt;J494),TODAY()-J494,0)))</f>
        <v/>
      </c>
    </row>
    <row r="495">
      <c r="M495">
        <f>IF(J495="","",IF(K495&lt;&gt;"",MAX(0,K495-J495),IF(AND(L495&lt;&gt;"Delivered",TODAY()&gt;J495),TODAY()-J495,0)))</f>
        <v/>
      </c>
    </row>
    <row r="496">
      <c r="M496">
        <f>IF(J496="","",IF(K496&lt;&gt;"",MAX(0,K496-J496),IF(AND(L496&lt;&gt;"Delivered",TODAY()&gt;J496),TODAY()-J496,0)))</f>
        <v/>
      </c>
    </row>
    <row r="497">
      <c r="M497">
        <f>IF(J497="","",IF(K497&lt;&gt;"",MAX(0,K497-J497),IF(AND(L497&lt;&gt;"Delivered",TODAY()&gt;J497),TODAY()-J497,0)))</f>
        <v/>
      </c>
    </row>
    <row r="498">
      <c r="M498">
        <f>IF(J498="","",IF(K498&lt;&gt;"",MAX(0,K498-J498),IF(AND(L498&lt;&gt;"Delivered",TODAY()&gt;J498),TODAY()-J498,0)))</f>
        <v/>
      </c>
    </row>
    <row r="499">
      <c r="M499">
        <f>IF(J499="","",IF(K499&lt;&gt;"",MAX(0,K499-J499),IF(AND(L499&lt;&gt;"Delivered",TODAY()&gt;J499),TODAY()-J499,0)))</f>
        <v/>
      </c>
    </row>
    <row r="500">
      <c r="M500">
        <f>IF(J500="","",IF(K500&lt;&gt;"",MAX(0,K500-J500),IF(AND(L500&lt;&gt;"Delivered",TODAY()&gt;J500),TODAY()-J500,0)))</f>
        <v/>
      </c>
    </row>
    <row r="501">
      <c r="M501">
        <f>IF(J501="","",IF(K501&lt;&gt;"",MAX(0,K501-J501),IF(AND(L501&lt;&gt;"Delivered",TODAY()&gt;J501),TODAY()-J501,0)))</f>
        <v/>
      </c>
    </row>
    <row r="502">
      <c r="M502">
        <f>IF(J502="","",IF(K502&lt;&gt;"",MAX(0,K502-J502),IF(AND(L502&lt;&gt;"Delivered",TODAY()&gt;J502),TODAY()-J502,0)))</f>
        <v/>
      </c>
    </row>
    <row r="503">
      <c r="M503">
        <f>IF(J503="","",IF(K503&lt;&gt;"",MAX(0,K503-J503),IF(AND(L503&lt;&gt;"Delivered",TODAY()&gt;J503),TODAY()-J503,0)))</f>
        <v/>
      </c>
    </row>
    <row r="504">
      <c r="M504">
        <f>IF(J504="","",IF(K504&lt;&gt;"",MAX(0,K504-J504),IF(AND(L504&lt;&gt;"Delivered",TODAY()&gt;J504),TODAY()-J504,0)))</f>
        <v/>
      </c>
    </row>
    <row r="505">
      <c r="M505">
        <f>IF(J505="","",IF(K505&lt;&gt;"",MAX(0,K505-J505),IF(AND(L505&lt;&gt;"Delivered",TODAY()&gt;J505),TODAY()-J505,0)))</f>
        <v/>
      </c>
    </row>
    <row r="506">
      <c r="M506">
        <f>IF(J506="","",IF(K506&lt;&gt;"",MAX(0,K506-J506),IF(AND(L506&lt;&gt;"Delivered",TODAY()&gt;J506),TODAY()-J506,0)))</f>
        <v/>
      </c>
    </row>
    <row r="507">
      <c r="M507">
        <f>IF(J507="","",IF(K507&lt;&gt;"",MAX(0,K507-J507),IF(AND(L507&lt;&gt;"Delivered",TODAY()&gt;J507),TODAY()-J507,0)))</f>
        <v/>
      </c>
    </row>
    <row r="508">
      <c r="M508">
        <f>IF(J508="","",IF(K508&lt;&gt;"",MAX(0,K508-J508),IF(AND(L508&lt;&gt;"Delivered",TODAY()&gt;J508),TODAY()-J508,0)))</f>
        <v/>
      </c>
    </row>
    <row r="509">
      <c r="M509">
        <f>IF(J509="","",IF(K509&lt;&gt;"",MAX(0,K509-J509),IF(AND(L509&lt;&gt;"Delivered",TODAY()&gt;J509),TODAY()-J509,0)))</f>
        <v/>
      </c>
    </row>
    <row r="510">
      <c r="M510">
        <f>IF(J510="","",IF(K510&lt;&gt;"",MAX(0,K510-J510),IF(AND(L510&lt;&gt;"Delivered",TODAY()&gt;J510),TODAY()-J510,0)))</f>
        <v/>
      </c>
    </row>
    <row r="511">
      <c r="M511">
        <f>IF(J511="","",IF(K511&lt;&gt;"",MAX(0,K511-J511),IF(AND(L511&lt;&gt;"Delivered",TODAY()&gt;J511),TODAY()-J511,0)))</f>
        <v/>
      </c>
    </row>
    <row r="512">
      <c r="M512">
        <f>IF(J512="","",IF(K512&lt;&gt;"",MAX(0,K512-J512),IF(AND(L512&lt;&gt;"Delivered",TODAY()&gt;J512),TODAY()-J512,0)))</f>
        <v/>
      </c>
    </row>
    <row r="513">
      <c r="M513">
        <f>IF(J513="","",IF(K513&lt;&gt;"",MAX(0,K513-J513),IF(AND(L513&lt;&gt;"Delivered",TODAY()&gt;J513),TODAY()-J513,0)))</f>
        <v/>
      </c>
    </row>
    <row r="514">
      <c r="M514">
        <f>IF(J514="","",IF(K514&lt;&gt;"",MAX(0,K514-J514),IF(AND(L514&lt;&gt;"Delivered",TODAY()&gt;J514),TODAY()-J514,0)))</f>
        <v/>
      </c>
    </row>
    <row r="515">
      <c r="M515">
        <f>IF(J515="","",IF(K515&lt;&gt;"",MAX(0,K515-J515),IF(AND(L515&lt;&gt;"Delivered",TODAY()&gt;J515),TODAY()-J515,0)))</f>
        <v/>
      </c>
    </row>
    <row r="516">
      <c r="M516">
        <f>IF(J516="","",IF(K516&lt;&gt;"",MAX(0,K516-J516),IF(AND(L516&lt;&gt;"Delivered",TODAY()&gt;J516),TODAY()-J516,0)))</f>
        <v/>
      </c>
    </row>
    <row r="517">
      <c r="M517">
        <f>IF(J517="","",IF(K517&lt;&gt;"",MAX(0,K517-J517),IF(AND(L517&lt;&gt;"Delivered",TODAY()&gt;J517),TODAY()-J517,0)))</f>
        <v/>
      </c>
    </row>
    <row r="518">
      <c r="M518">
        <f>IF(J518="","",IF(K518&lt;&gt;"",MAX(0,K518-J518),IF(AND(L518&lt;&gt;"Delivered",TODAY()&gt;J518),TODAY()-J518,0)))</f>
        <v/>
      </c>
    </row>
    <row r="519">
      <c r="M519">
        <f>IF(J519="","",IF(K519&lt;&gt;"",MAX(0,K519-J519),IF(AND(L519&lt;&gt;"Delivered",TODAY()&gt;J519),TODAY()-J519,0)))</f>
        <v/>
      </c>
    </row>
    <row r="520">
      <c r="M520">
        <f>IF(J520="","",IF(K520&lt;&gt;"",MAX(0,K520-J520),IF(AND(L520&lt;&gt;"Delivered",TODAY()&gt;J520),TODAY()-J520,0)))</f>
        <v/>
      </c>
    </row>
    <row r="521">
      <c r="M521">
        <f>IF(J521="","",IF(K521&lt;&gt;"",MAX(0,K521-J521),IF(AND(L521&lt;&gt;"Delivered",TODAY()&gt;J521),TODAY()-J521,0)))</f>
        <v/>
      </c>
    </row>
    <row r="522">
      <c r="M522">
        <f>IF(J522="","",IF(K522&lt;&gt;"",MAX(0,K522-J522),IF(AND(L522&lt;&gt;"Delivered",TODAY()&gt;J522),TODAY()-J522,0)))</f>
        <v/>
      </c>
    </row>
    <row r="523">
      <c r="M523">
        <f>IF(J523="","",IF(K523&lt;&gt;"",MAX(0,K523-J523),IF(AND(L523&lt;&gt;"Delivered",TODAY()&gt;J523),TODAY()-J523,0)))</f>
        <v/>
      </c>
    </row>
    <row r="524">
      <c r="M524">
        <f>IF(J524="","",IF(K524&lt;&gt;"",MAX(0,K524-J524),IF(AND(L524&lt;&gt;"Delivered",TODAY()&gt;J524),TODAY()-J524,0)))</f>
        <v/>
      </c>
    </row>
    <row r="525">
      <c r="M525">
        <f>IF(J525="","",IF(K525&lt;&gt;"",MAX(0,K525-J525),IF(AND(L525&lt;&gt;"Delivered",TODAY()&gt;J525),TODAY()-J525,0)))</f>
        <v/>
      </c>
    </row>
    <row r="526">
      <c r="M526">
        <f>IF(J526="","",IF(K526&lt;&gt;"",MAX(0,K526-J526),IF(AND(L526&lt;&gt;"Delivered",TODAY()&gt;J526),TODAY()-J526,0)))</f>
        <v/>
      </c>
    </row>
    <row r="527">
      <c r="M527">
        <f>IF(J527="","",IF(K527&lt;&gt;"",MAX(0,K527-J527),IF(AND(L527&lt;&gt;"Delivered",TODAY()&gt;J527),TODAY()-J527,0)))</f>
        <v/>
      </c>
    </row>
    <row r="528">
      <c r="M528">
        <f>IF(J528="","",IF(K528&lt;&gt;"",MAX(0,K528-J528),IF(AND(L528&lt;&gt;"Delivered",TODAY()&gt;J528),TODAY()-J528,0)))</f>
        <v/>
      </c>
    </row>
    <row r="529">
      <c r="M529">
        <f>IF(J529="","",IF(K529&lt;&gt;"",MAX(0,K529-J529),IF(AND(L529&lt;&gt;"Delivered",TODAY()&gt;J529),TODAY()-J529,0)))</f>
        <v/>
      </c>
    </row>
    <row r="530">
      <c r="M530">
        <f>IF(J530="","",IF(K530&lt;&gt;"",MAX(0,K530-J530),IF(AND(L530&lt;&gt;"Delivered",TODAY()&gt;J530),TODAY()-J530,0)))</f>
        <v/>
      </c>
    </row>
    <row r="531">
      <c r="M531">
        <f>IF(J531="","",IF(K531&lt;&gt;"",MAX(0,K531-J531),IF(AND(L531&lt;&gt;"Delivered",TODAY()&gt;J531),TODAY()-J531,0)))</f>
        <v/>
      </c>
    </row>
    <row r="532">
      <c r="M532">
        <f>IF(J532="","",IF(K532&lt;&gt;"",MAX(0,K532-J532),IF(AND(L532&lt;&gt;"Delivered",TODAY()&gt;J532),TODAY()-J532,0)))</f>
        <v/>
      </c>
    </row>
    <row r="533">
      <c r="M533">
        <f>IF(J533="","",IF(K533&lt;&gt;"",MAX(0,K533-J533),IF(AND(L533&lt;&gt;"Delivered",TODAY()&gt;J533),TODAY()-J533,0)))</f>
        <v/>
      </c>
    </row>
    <row r="534">
      <c r="M534">
        <f>IF(J534="","",IF(K534&lt;&gt;"",MAX(0,K534-J534),IF(AND(L534&lt;&gt;"Delivered",TODAY()&gt;J534),TODAY()-J534,0)))</f>
        <v/>
      </c>
    </row>
    <row r="535">
      <c r="M535">
        <f>IF(J535="","",IF(K535&lt;&gt;"",MAX(0,K535-J535),IF(AND(L535&lt;&gt;"Delivered",TODAY()&gt;J535),TODAY()-J535,0)))</f>
        <v/>
      </c>
    </row>
    <row r="536">
      <c r="M536">
        <f>IF(J536="","",IF(K536&lt;&gt;"",MAX(0,K536-J536),IF(AND(L536&lt;&gt;"Delivered",TODAY()&gt;J536),TODAY()-J536,0)))</f>
        <v/>
      </c>
    </row>
    <row r="537">
      <c r="M537">
        <f>IF(J537="","",IF(K537&lt;&gt;"",MAX(0,K537-J537),IF(AND(L537&lt;&gt;"Delivered",TODAY()&gt;J537),TODAY()-J537,0)))</f>
        <v/>
      </c>
    </row>
    <row r="538">
      <c r="M538">
        <f>IF(J538="","",IF(K538&lt;&gt;"",MAX(0,K538-J538),IF(AND(L538&lt;&gt;"Delivered",TODAY()&gt;J538),TODAY()-J538,0)))</f>
        <v/>
      </c>
    </row>
    <row r="539">
      <c r="M539">
        <f>IF(J539="","",IF(K539&lt;&gt;"",MAX(0,K539-J539),IF(AND(L539&lt;&gt;"Delivered",TODAY()&gt;J539),TODAY()-J539,0)))</f>
        <v/>
      </c>
    </row>
    <row r="540">
      <c r="M540">
        <f>IF(J540="","",IF(K540&lt;&gt;"",MAX(0,K540-J540),IF(AND(L540&lt;&gt;"Delivered",TODAY()&gt;J540),TODAY()-J540,0)))</f>
        <v/>
      </c>
    </row>
    <row r="541">
      <c r="M541">
        <f>IF(J541="","",IF(K541&lt;&gt;"",MAX(0,K541-J541),IF(AND(L541&lt;&gt;"Delivered",TODAY()&gt;J541),TODAY()-J541,0)))</f>
        <v/>
      </c>
    </row>
    <row r="542">
      <c r="M542">
        <f>IF(J542="","",IF(K542&lt;&gt;"",MAX(0,K542-J542),IF(AND(L542&lt;&gt;"Delivered",TODAY()&gt;J542),TODAY()-J542,0)))</f>
        <v/>
      </c>
    </row>
    <row r="543">
      <c r="M543">
        <f>IF(J543="","",IF(K543&lt;&gt;"",MAX(0,K543-J543),IF(AND(L543&lt;&gt;"Delivered",TODAY()&gt;J543),TODAY()-J543,0)))</f>
        <v/>
      </c>
    </row>
    <row r="544">
      <c r="M544">
        <f>IF(J544="","",IF(K544&lt;&gt;"",MAX(0,K544-J544),IF(AND(L544&lt;&gt;"Delivered",TODAY()&gt;J544),TODAY()-J544,0)))</f>
        <v/>
      </c>
    </row>
    <row r="545">
      <c r="M545">
        <f>IF(J545="","",IF(K545&lt;&gt;"",MAX(0,K545-J545),IF(AND(L545&lt;&gt;"Delivered",TODAY()&gt;J545),TODAY()-J545,0)))</f>
        <v/>
      </c>
    </row>
    <row r="546">
      <c r="M546">
        <f>IF(J546="","",IF(K546&lt;&gt;"",MAX(0,K546-J546),IF(AND(L546&lt;&gt;"Delivered",TODAY()&gt;J546),TODAY()-J546,0)))</f>
        <v/>
      </c>
    </row>
    <row r="547">
      <c r="M547">
        <f>IF(J547="","",IF(K547&lt;&gt;"",MAX(0,K547-J547),IF(AND(L547&lt;&gt;"Delivered",TODAY()&gt;J547),TODAY()-J547,0)))</f>
        <v/>
      </c>
    </row>
    <row r="548">
      <c r="M548">
        <f>IF(J548="","",IF(K548&lt;&gt;"",MAX(0,K548-J548),IF(AND(L548&lt;&gt;"Delivered",TODAY()&gt;J548),TODAY()-J548,0)))</f>
        <v/>
      </c>
    </row>
    <row r="549">
      <c r="M549">
        <f>IF(J549="","",IF(K549&lt;&gt;"",MAX(0,K549-J549),IF(AND(L549&lt;&gt;"Delivered",TODAY()&gt;J549),TODAY()-J549,0)))</f>
        <v/>
      </c>
    </row>
    <row r="550">
      <c r="M550">
        <f>IF(J550="","",IF(K550&lt;&gt;"",MAX(0,K550-J550),IF(AND(L550&lt;&gt;"Delivered",TODAY()&gt;J550),TODAY()-J550,0)))</f>
        <v/>
      </c>
    </row>
    <row r="551">
      <c r="M551">
        <f>IF(J551="","",IF(K551&lt;&gt;"",MAX(0,K551-J551),IF(AND(L551&lt;&gt;"Delivered",TODAY()&gt;J551),TODAY()-J551,0)))</f>
        <v/>
      </c>
    </row>
    <row r="552">
      <c r="M552">
        <f>IF(J552="","",IF(K552&lt;&gt;"",MAX(0,K552-J552),IF(AND(L552&lt;&gt;"Delivered",TODAY()&gt;J552),TODAY()-J552,0)))</f>
        <v/>
      </c>
    </row>
    <row r="553">
      <c r="M553">
        <f>IF(J553="","",IF(K553&lt;&gt;"",MAX(0,K553-J553),IF(AND(L553&lt;&gt;"Delivered",TODAY()&gt;J553),TODAY()-J553,0)))</f>
        <v/>
      </c>
    </row>
    <row r="554">
      <c r="M554">
        <f>IF(J554="","",IF(K554&lt;&gt;"",MAX(0,K554-J554),IF(AND(L554&lt;&gt;"Delivered",TODAY()&gt;J554),TODAY()-J554,0)))</f>
        <v/>
      </c>
    </row>
    <row r="555">
      <c r="M555">
        <f>IF(J555="","",IF(K555&lt;&gt;"",MAX(0,K555-J555),IF(AND(L555&lt;&gt;"Delivered",TODAY()&gt;J555),TODAY()-J555,0)))</f>
        <v/>
      </c>
    </row>
    <row r="556">
      <c r="M556">
        <f>IF(J556="","",IF(K556&lt;&gt;"",MAX(0,K556-J556),IF(AND(L556&lt;&gt;"Delivered",TODAY()&gt;J556),TODAY()-J556,0)))</f>
        <v/>
      </c>
    </row>
    <row r="557">
      <c r="M557">
        <f>IF(J557="","",IF(K557&lt;&gt;"",MAX(0,K557-J557),IF(AND(L557&lt;&gt;"Delivered",TODAY()&gt;J557),TODAY()-J557,0)))</f>
        <v/>
      </c>
    </row>
    <row r="558">
      <c r="M558">
        <f>IF(J558="","",IF(K558&lt;&gt;"",MAX(0,K558-J558),IF(AND(L558&lt;&gt;"Delivered",TODAY()&gt;J558),TODAY()-J558,0)))</f>
        <v/>
      </c>
    </row>
    <row r="559">
      <c r="M559">
        <f>IF(J559="","",IF(K559&lt;&gt;"",MAX(0,K559-J559),IF(AND(L559&lt;&gt;"Delivered",TODAY()&gt;J559),TODAY()-J559,0)))</f>
        <v/>
      </c>
    </row>
    <row r="560">
      <c r="M560">
        <f>IF(J560="","",IF(K560&lt;&gt;"",MAX(0,K560-J560),IF(AND(L560&lt;&gt;"Delivered",TODAY()&gt;J560),TODAY()-J560,0)))</f>
        <v/>
      </c>
    </row>
    <row r="561">
      <c r="M561">
        <f>IF(J561="","",IF(K561&lt;&gt;"",MAX(0,K561-J561),IF(AND(L561&lt;&gt;"Delivered",TODAY()&gt;J561),TODAY()-J561,0)))</f>
        <v/>
      </c>
    </row>
    <row r="562">
      <c r="M562">
        <f>IF(J562="","",IF(K562&lt;&gt;"",MAX(0,K562-J562),IF(AND(L562&lt;&gt;"Delivered",TODAY()&gt;J562),TODAY()-J562,0)))</f>
        <v/>
      </c>
    </row>
    <row r="563">
      <c r="M563">
        <f>IF(J563="","",IF(K563&lt;&gt;"",MAX(0,K563-J563),IF(AND(L563&lt;&gt;"Delivered",TODAY()&gt;J563),TODAY()-J563,0)))</f>
        <v/>
      </c>
    </row>
    <row r="564">
      <c r="M564">
        <f>IF(J564="","",IF(K564&lt;&gt;"",MAX(0,K564-J564),IF(AND(L564&lt;&gt;"Delivered",TODAY()&gt;J564),TODAY()-J564,0)))</f>
        <v/>
      </c>
    </row>
    <row r="565">
      <c r="M565">
        <f>IF(J565="","",IF(K565&lt;&gt;"",MAX(0,K565-J565),IF(AND(L565&lt;&gt;"Delivered",TODAY()&gt;J565),TODAY()-J565,0)))</f>
        <v/>
      </c>
    </row>
    <row r="566">
      <c r="M566">
        <f>IF(J566="","",IF(K566&lt;&gt;"",MAX(0,K566-J566),IF(AND(L566&lt;&gt;"Delivered",TODAY()&gt;J566),TODAY()-J566,0)))</f>
        <v/>
      </c>
    </row>
    <row r="567">
      <c r="M567">
        <f>IF(J567="","",IF(K567&lt;&gt;"",MAX(0,K567-J567),IF(AND(L567&lt;&gt;"Delivered",TODAY()&gt;J567),TODAY()-J567,0)))</f>
        <v/>
      </c>
    </row>
    <row r="568">
      <c r="M568">
        <f>IF(J568="","",IF(K568&lt;&gt;"",MAX(0,K568-J568),IF(AND(L568&lt;&gt;"Delivered",TODAY()&gt;J568),TODAY()-J568,0)))</f>
        <v/>
      </c>
    </row>
    <row r="569">
      <c r="M569">
        <f>IF(J569="","",IF(K569&lt;&gt;"",MAX(0,K569-J569),IF(AND(L569&lt;&gt;"Delivered",TODAY()&gt;J569),TODAY()-J569,0)))</f>
        <v/>
      </c>
    </row>
    <row r="570">
      <c r="M570">
        <f>IF(J570="","",IF(K570&lt;&gt;"",MAX(0,K570-J570),IF(AND(L570&lt;&gt;"Delivered",TODAY()&gt;J570),TODAY()-J570,0)))</f>
        <v/>
      </c>
    </row>
    <row r="571">
      <c r="M571">
        <f>IF(J571="","",IF(K571&lt;&gt;"",MAX(0,K571-J571),IF(AND(L571&lt;&gt;"Delivered",TODAY()&gt;J571),TODAY()-J571,0)))</f>
        <v/>
      </c>
    </row>
    <row r="572">
      <c r="M572">
        <f>IF(J572="","",IF(K572&lt;&gt;"",MAX(0,K572-J572),IF(AND(L572&lt;&gt;"Delivered",TODAY()&gt;J572),TODAY()-J572,0)))</f>
        <v/>
      </c>
    </row>
    <row r="573">
      <c r="M573">
        <f>IF(J573="","",IF(K573&lt;&gt;"",MAX(0,K573-J573),IF(AND(L573&lt;&gt;"Delivered",TODAY()&gt;J573),TODAY()-J573,0)))</f>
        <v/>
      </c>
    </row>
    <row r="574">
      <c r="M574">
        <f>IF(J574="","",IF(K574&lt;&gt;"",MAX(0,K574-J574),IF(AND(L574&lt;&gt;"Delivered",TODAY()&gt;J574),TODAY()-J574,0)))</f>
        <v/>
      </c>
    </row>
    <row r="575">
      <c r="M575">
        <f>IF(J575="","",IF(K575&lt;&gt;"",MAX(0,K575-J575),IF(AND(L575&lt;&gt;"Delivered",TODAY()&gt;J575),TODAY()-J575,0)))</f>
        <v/>
      </c>
    </row>
    <row r="576">
      <c r="M576">
        <f>IF(J576="","",IF(K576&lt;&gt;"",MAX(0,K576-J576),IF(AND(L576&lt;&gt;"Delivered",TODAY()&gt;J576),TODAY()-J576,0)))</f>
        <v/>
      </c>
    </row>
    <row r="577">
      <c r="M577">
        <f>IF(J577="","",IF(K577&lt;&gt;"",MAX(0,K577-J577),IF(AND(L577&lt;&gt;"Delivered",TODAY()&gt;J577),TODAY()-J577,0)))</f>
        <v/>
      </c>
    </row>
    <row r="578">
      <c r="M578">
        <f>IF(J578="","",IF(K578&lt;&gt;"",MAX(0,K578-J578),IF(AND(L578&lt;&gt;"Delivered",TODAY()&gt;J578),TODAY()-J578,0)))</f>
        <v/>
      </c>
    </row>
    <row r="579">
      <c r="M579">
        <f>IF(J579="","",IF(K579&lt;&gt;"",MAX(0,K579-J579),IF(AND(L579&lt;&gt;"Delivered",TODAY()&gt;J579),TODAY()-J579,0)))</f>
        <v/>
      </c>
    </row>
    <row r="580">
      <c r="M580">
        <f>IF(J580="","",IF(K580&lt;&gt;"",MAX(0,K580-J580),IF(AND(L580&lt;&gt;"Delivered",TODAY()&gt;J580),TODAY()-J580,0)))</f>
        <v/>
      </c>
    </row>
    <row r="581">
      <c r="M581">
        <f>IF(J581="","",IF(K581&lt;&gt;"",MAX(0,K581-J581),IF(AND(L581&lt;&gt;"Delivered",TODAY()&gt;J581),TODAY()-J581,0)))</f>
        <v/>
      </c>
    </row>
    <row r="582">
      <c r="M582">
        <f>IF(J582="","",IF(K582&lt;&gt;"",MAX(0,K582-J582),IF(AND(L582&lt;&gt;"Delivered",TODAY()&gt;J582),TODAY()-J582,0)))</f>
        <v/>
      </c>
    </row>
    <row r="583">
      <c r="M583">
        <f>IF(J583="","",IF(K583&lt;&gt;"",MAX(0,K583-J583),IF(AND(L583&lt;&gt;"Delivered",TODAY()&gt;J583),TODAY()-J583,0)))</f>
        <v/>
      </c>
    </row>
    <row r="584">
      <c r="M584">
        <f>IF(J584="","",IF(K584&lt;&gt;"",MAX(0,K584-J584),IF(AND(L584&lt;&gt;"Delivered",TODAY()&gt;J584),TODAY()-J584,0)))</f>
        <v/>
      </c>
    </row>
    <row r="585">
      <c r="M585">
        <f>IF(J585="","",IF(K585&lt;&gt;"",MAX(0,K585-J585),IF(AND(L585&lt;&gt;"Delivered",TODAY()&gt;J585),TODAY()-J585,0)))</f>
        <v/>
      </c>
    </row>
    <row r="586">
      <c r="M586">
        <f>IF(J586="","",IF(K586&lt;&gt;"",MAX(0,K586-J586),IF(AND(L586&lt;&gt;"Delivered",TODAY()&gt;J586),TODAY()-J586,0)))</f>
        <v/>
      </c>
    </row>
    <row r="587">
      <c r="M587">
        <f>IF(J587="","",IF(K587&lt;&gt;"",MAX(0,K587-J587),IF(AND(L587&lt;&gt;"Delivered",TODAY()&gt;J587),TODAY()-J587,0)))</f>
        <v/>
      </c>
    </row>
    <row r="588">
      <c r="M588">
        <f>IF(J588="","",IF(K588&lt;&gt;"",MAX(0,K588-J588),IF(AND(L588&lt;&gt;"Delivered",TODAY()&gt;J588),TODAY()-J588,0)))</f>
        <v/>
      </c>
    </row>
    <row r="589">
      <c r="M589">
        <f>IF(J589="","",IF(K589&lt;&gt;"",MAX(0,K589-J589),IF(AND(L589&lt;&gt;"Delivered",TODAY()&gt;J589),TODAY()-J589,0)))</f>
        <v/>
      </c>
    </row>
    <row r="590">
      <c r="M590">
        <f>IF(J590="","",IF(K590&lt;&gt;"",MAX(0,K590-J590),IF(AND(L590&lt;&gt;"Delivered",TODAY()&gt;J590),TODAY()-J590,0)))</f>
        <v/>
      </c>
    </row>
    <row r="591">
      <c r="M591">
        <f>IF(J591="","",IF(K591&lt;&gt;"",MAX(0,K591-J591),IF(AND(L591&lt;&gt;"Delivered",TODAY()&gt;J591),TODAY()-J591,0)))</f>
        <v/>
      </c>
    </row>
    <row r="592">
      <c r="M592">
        <f>IF(J592="","",IF(K592&lt;&gt;"",MAX(0,K592-J592),IF(AND(L592&lt;&gt;"Delivered",TODAY()&gt;J592),TODAY()-J592,0)))</f>
        <v/>
      </c>
    </row>
    <row r="593">
      <c r="M593">
        <f>IF(J593="","",IF(K593&lt;&gt;"",MAX(0,K593-J593),IF(AND(L593&lt;&gt;"Delivered",TODAY()&gt;J593),TODAY()-J593,0)))</f>
        <v/>
      </c>
    </row>
    <row r="594">
      <c r="M594">
        <f>IF(J594="","",IF(K594&lt;&gt;"",MAX(0,K594-J594),IF(AND(L594&lt;&gt;"Delivered",TODAY()&gt;J594),TODAY()-J594,0)))</f>
        <v/>
      </c>
    </row>
    <row r="595">
      <c r="M595">
        <f>IF(J595="","",IF(K595&lt;&gt;"",MAX(0,K595-J595),IF(AND(L595&lt;&gt;"Delivered",TODAY()&gt;J595),TODAY()-J595,0)))</f>
        <v/>
      </c>
    </row>
    <row r="596">
      <c r="M596">
        <f>IF(J596="","",IF(K596&lt;&gt;"",MAX(0,K596-J596),IF(AND(L596&lt;&gt;"Delivered",TODAY()&gt;J596),TODAY()-J596,0)))</f>
        <v/>
      </c>
    </row>
    <row r="597">
      <c r="M597">
        <f>IF(J597="","",IF(K597&lt;&gt;"",MAX(0,K597-J597),IF(AND(L597&lt;&gt;"Delivered",TODAY()&gt;J597),TODAY()-J597,0)))</f>
        <v/>
      </c>
    </row>
    <row r="598">
      <c r="M598">
        <f>IF(J598="","",IF(K598&lt;&gt;"",MAX(0,K598-J598),IF(AND(L598&lt;&gt;"Delivered",TODAY()&gt;J598),TODAY()-J598,0)))</f>
        <v/>
      </c>
    </row>
    <row r="599">
      <c r="M599">
        <f>IF(J599="","",IF(K599&lt;&gt;"",MAX(0,K599-J599),IF(AND(L599&lt;&gt;"Delivered",TODAY()&gt;J599),TODAY()-J599,0)))</f>
        <v/>
      </c>
    </row>
    <row r="600">
      <c r="M600">
        <f>IF(J600="","",IF(K600&lt;&gt;"",MAX(0,K600-J600),IF(AND(L600&lt;&gt;"Delivered",TODAY()&gt;J600),TODAY()-J600,0)))</f>
        <v/>
      </c>
    </row>
    <row r="601">
      <c r="M601">
        <f>IF(J601="","",IF(K601&lt;&gt;"",MAX(0,K601-J601),IF(AND(L601&lt;&gt;"Delivered",TODAY()&gt;J601),TODAY()-J601,0)))</f>
        <v/>
      </c>
    </row>
    <row r="602">
      <c r="M602">
        <f>IF(J602="","",IF(K602&lt;&gt;"",MAX(0,K602-J602),IF(AND(L602&lt;&gt;"Delivered",TODAY()&gt;J602),TODAY()-J602,0)))</f>
        <v/>
      </c>
    </row>
    <row r="603">
      <c r="M603">
        <f>IF(J603="","",IF(K603&lt;&gt;"",MAX(0,K603-J603),IF(AND(L603&lt;&gt;"Delivered",TODAY()&gt;J603),TODAY()-J603,0)))</f>
        <v/>
      </c>
    </row>
    <row r="604">
      <c r="M604">
        <f>IF(J604="","",IF(K604&lt;&gt;"",MAX(0,K604-J604),IF(AND(L604&lt;&gt;"Delivered",TODAY()&gt;J604),TODAY()-J604,0)))</f>
        <v/>
      </c>
    </row>
    <row r="605">
      <c r="M605">
        <f>IF(J605="","",IF(K605&lt;&gt;"",MAX(0,K605-J605),IF(AND(L605&lt;&gt;"Delivered",TODAY()&gt;J605),TODAY()-J605,0)))</f>
        <v/>
      </c>
    </row>
    <row r="606">
      <c r="M606">
        <f>IF(J606="","",IF(K606&lt;&gt;"",MAX(0,K606-J606),IF(AND(L606&lt;&gt;"Delivered",TODAY()&gt;J606),TODAY()-J606,0)))</f>
        <v/>
      </c>
    </row>
    <row r="607">
      <c r="M607">
        <f>IF(J607="","",IF(K607&lt;&gt;"",MAX(0,K607-J607),IF(AND(L607&lt;&gt;"Delivered",TODAY()&gt;J607),TODAY()-J607,0)))</f>
        <v/>
      </c>
    </row>
    <row r="608">
      <c r="M608">
        <f>IF(J608="","",IF(K608&lt;&gt;"",MAX(0,K608-J608),IF(AND(L608&lt;&gt;"Delivered",TODAY()&gt;J608),TODAY()-J608,0)))</f>
        <v/>
      </c>
    </row>
    <row r="609">
      <c r="M609">
        <f>IF(J609="","",IF(K609&lt;&gt;"",MAX(0,K609-J609),IF(AND(L609&lt;&gt;"Delivered",TODAY()&gt;J609),TODAY()-J609,0)))</f>
        <v/>
      </c>
    </row>
    <row r="610">
      <c r="M610">
        <f>IF(J610="","",IF(K610&lt;&gt;"",MAX(0,K610-J610),IF(AND(L610&lt;&gt;"Delivered",TODAY()&gt;J610),TODAY()-J610,0)))</f>
        <v/>
      </c>
    </row>
    <row r="611">
      <c r="M611">
        <f>IF(J611="","",IF(K611&lt;&gt;"",MAX(0,K611-J611),IF(AND(L611&lt;&gt;"Delivered",TODAY()&gt;J611),TODAY()-J611,0)))</f>
        <v/>
      </c>
    </row>
    <row r="612">
      <c r="M612">
        <f>IF(J612="","",IF(K612&lt;&gt;"",MAX(0,K612-J612),IF(AND(L612&lt;&gt;"Delivered",TODAY()&gt;J612),TODAY()-J612,0)))</f>
        <v/>
      </c>
    </row>
    <row r="613">
      <c r="M613">
        <f>IF(J613="","",IF(K613&lt;&gt;"",MAX(0,K613-J613),IF(AND(L613&lt;&gt;"Delivered",TODAY()&gt;J613),TODAY()-J613,0)))</f>
        <v/>
      </c>
    </row>
    <row r="614">
      <c r="M614">
        <f>IF(J614="","",IF(K614&lt;&gt;"",MAX(0,K614-J614),IF(AND(L614&lt;&gt;"Delivered",TODAY()&gt;J614),TODAY()-J614,0)))</f>
        <v/>
      </c>
    </row>
    <row r="615">
      <c r="M615">
        <f>IF(J615="","",IF(K615&lt;&gt;"",MAX(0,K615-J615),IF(AND(L615&lt;&gt;"Delivered",TODAY()&gt;J615),TODAY()-J615,0)))</f>
        <v/>
      </c>
    </row>
    <row r="616">
      <c r="M616">
        <f>IF(J616="","",IF(K616&lt;&gt;"",MAX(0,K616-J616),IF(AND(L616&lt;&gt;"Delivered",TODAY()&gt;J616),TODAY()-J616,0)))</f>
        <v/>
      </c>
    </row>
    <row r="617">
      <c r="M617">
        <f>IF(J617="","",IF(K617&lt;&gt;"",MAX(0,K617-J617),IF(AND(L617&lt;&gt;"Delivered",TODAY()&gt;J617),TODAY()-J617,0)))</f>
        <v/>
      </c>
    </row>
    <row r="618">
      <c r="M618">
        <f>IF(J618="","",IF(K618&lt;&gt;"",MAX(0,K618-J618),IF(AND(L618&lt;&gt;"Delivered",TODAY()&gt;J618),TODAY()-J618,0)))</f>
        <v/>
      </c>
    </row>
    <row r="619">
      <c r="M619">
        <f>IF(J619="","",IF(K619&lt;&gt;"",MAX(0,K619-J619),IF(AND(L619&lt;&gt;"Delivered",TODAY()&gt;J619),TODAY()-J619,0)))</f>
        <v/>
      </c>
    </row>
    <row r="620">
      <c r="M620">
        <f>IF(J620="","",IF(K620&lt;&gt;"",MAX(0,K620-J620),IF(AND(L620&lt;&gt;"Delivered",TODAY()&gt;J620),TODAY()-J620,0)))</f>
        <v/>
      </c>
    </row>
    <row r="621">
      <c r="M621">
        <f>IF(J621="","",IF(K621&lt;&gt;"",MAX(0,K621-J621),IF(AND(L621&lt;&gt;"Delivered",TODAY()&gt;J621),TODAY()-J621,0)))</f>
        <v/>
      </c>
    </row>
    <row r="622">
      <c r="M622">
        <f>IF(J622="","",IF(K622&lt;&gt;"",MAX(0,K622-J622),IF(AND(L622&lt;&gt;"Delivered",TODAY()&gt;J622),TODAY()-J622,0)))</f>
        <v/>
      </c>
    </row>
    <row r="623">
      <c r="M623">
        <f>IF(J623="","",IF(K623&lt;&gt;"",MAX(0,K623-J623),IF(AND(L623&lt;&gt;"Delivered",TODAY()&gt;J623),TODAY()-J623,0)))</f>
        <v/>
      </c>
    </row>
    <row r="624">
      <c r="M624">
        <f>IF(J624="","",IF(K624&lt;&gt;"",MAX(0,K624-J624),IF(AND(L624&lt;&gt;"Delivered",TODAY()&gt;J624),TODAY()-J624,0)))</f>
        <v/>
      </c>
    </row>
    <row r="625">
      <c r="M625">
        <f>IF(J625="","",IF(K625&lt;&gt;"",MAX(0,K625-J625),IF(AND(L625&lt;&gt;"Delivered",TODAY()&gt;J625),TODAY()-J625,0)))</f>
        <v/>
      </c>
    </row>
    <row r="626">
      <c r="M626">
        <f>IF(J626="","",IF(K626&lt;&gt;"",MAX(0,K626-J626),IF(AND(L626&lt;&gt;"Delivered",TODAY()&gt;J626),TODAY()-J626,0)))</f>
        <v/>
      </c>
    </row>
    <row r="627">
      <c r="M627">
        <f>IF(J627="","",IF(K627&lt;&gt;"",MAX(0,K627-J627),IF(AND(L627&lt;&gt;"Delivered",TODAY()&gt;J627),TODAY()-J627,0)))</f>
        <v/>
      </c>
    </row>
    <row r="628">
      <c r="M628">
        <f>IF(J628="","",IF(K628&lt;&gt;"",MAX(0,K628-J628),IF(AND(L628&lt;&gt;"Delivered",TODAY()&gt;J628),TODAY()-J628,0)))</f>
        <v/>
      </c>
    </row>
    <row r="629">
      <c r="M629">
        <f>IF(J629="","",IF(K629&lt;&gt;"",MAX(0,K629-J629),IF(AND(L629&lt;&gt;"Delivered",TODAY()&gt;J629),TODAY()-J629,0)))</f>
        <v/>
      </c>
    </row>
    <row r="630">
      <c r="M630">
        <f>IF(J630="","",IF(K630&lt;&gt;"",MAX(0,K630-J630),IF(AND(L630&lt;&gt;"Delivered",TODAY()&gt;J630),TODAY()-J630,0)))</f>
        <v/>
      </c>
    </row>
    <row r="631">
      <c r="M631">
        <f>IF(J631="","",IF(K631&lt;&gt;"",MAX(0,K631-J631),IF(AND(L631&lt;&gt;"Delivered",TODAY()&gt;J631),TODAY()-J631,0)))</f>
        <v/>
      </c>
    </row>
    <row r="632">
      <c r="M632">
        <f>IF(J632="","",IF(K632&lt;&gt;"",MAX(0,K632-J632),IF(AND(L632&lt;&gt;"Delivered",TODAY()&gt;J632),TODAY()-J632,0)))</f>
        <v/>
      </c>
    </row>
    <row r="633">
      <c r="M633">
        <f>IF(J633="","",IF(K633&lt;&gt;"",MAX(0,K633-J633),IF(AND(L633&lt;&gt;"Delivered",TODAY()&gt;J633),TODAY()-J633,0)))</f>
        <v/>
      </c>
    </row>
    <row r="634">
      <c r="M634">
        <f>IF(J634="","",IF(K634&lt;&gt;"",MAX(0,K634-J634),IF(AND(L634&lt;&gt;"Delivered",TODAY()&gt;J634),TODAY()-J634,0)))</f>
        <v/>
      </c>
    </row>
    <row r="635">
      <c r="M635">
        <f>IF(J635="","",IF(K635&lt;&gt;"",MAX(0,K635-J635),IF(AND(L635&lt;&gt;"Delivered",TODAY()&gt;J635),TODAY()-J635,0)))</f>
        <v/>
      </c>
    </row>
    <row r="636">
      <c r="M636">
        <f>IF(J636="","",IF(K636&lt;&gt;"",MAX(0,K636-J636),IF(AND(L636&lt;&gt;"Delivered",TODAY()&gt;J636),TODAY()-J636,0)))</f>
        <v/>
      </c>
    </row>
    <row r="637">
      <c r="M637">
        <f>IF(J637="","",IF(K637&lt;&gt;"",MAX(0,K637-J637),IF(AND(L637&lt;&gt;"Delivered",TODAY()&gt;J637),TODAY()-J637,0)))</f>
        <v/>
      </c>
    </row>
    <row r="638">
      <c r="M638">
        <f>IF(J638="","",IF(K638&lt;&gt;"",MAX(0,K638-J638),IF(AND(L638&lt;&gt;"Delivered",TODAY()&gt;J638),TODAY()-J638,0)))</f>
        <v/>
      </c>
    </row>
    <row r="639">
      <c r="M639">
        <f>IF(J639="","",IF(K639&lt;&gt;"",MAX(0,K639-J639),IF(AND(L639&lt;&gt;"Delivered",TODAY()&gt;J639),TODAY()-J639,0)))</f>
        <v/>
      </c>
    </row>
    <row r="640">
      <c r="M640">
        <f>IF(J640="","",IF(K640&lt;&gt;"",MAX(0,K640-J640),IF(AND(L640&lt;&gt;"Delivered",TODAY()&gt;J640),TODAY()-J640,0)))</f>
        <v/>
      </c>
    </row>
    <row r="641">
      <c r="M641">
        <f>IF(J641="","",IF(K641&lt;&gt;"",MAX(0,K641-J641),IF(AND(L641&lt;&gt;"Delivered",TODAY()&gt;J641),TODAY()-J641,0)))</f>
        <v/>
      </c>
    </row>
    <row r="642">
      <c r="M642">
        <f>IF(J642="","",IF(K642&lt;&gt;"",MAX(0,K642-J642),IF(AND(L642&lt;&gt;"Delivered",TODAY()&gt;J642),TODAY()-J642,0)))</f>
        <v/>
      </c>
    </row>
    <row r="643">
      <c r="M643">
        <f>IF(J643="","",IF(K643&lt;&gt;"",MAX(0,K643-J643),IF(AND(L643&lt;&gt;"Delivered",TODAY()&gt;J643),TODAY()-J643,0)))</f>
        <v/>
      </c>
    </row>
    <row r="644">
      <c r="M644">
        <f>IF(J644="","",IF(K644&lt;&gt;"",MAX(0,K644-J644),IF(AND(L644&lt;&gt;"Delivered",TODAY()&gt;J644),TODAY()-J644,0)))</f>
        <v/>
      </c>
    </row>
    <row r="645">
      <c r="M645">
        <f>IF(J645="","",IF(K645&lt;&gt;"",MAX(0,K645-J645),IF(AND(L645&lt;&gt;"Delivered",TODAY()&gt;J645),TODAY()-J645,0)))</f>
        <v/>
      </c>
    </row>
    <row r="646">
      <c r="M646">
        <f>IF(J646="","",IF(K646&lt;&gt;"",MAX(0,K646-J646),IF(AND(L646&lt;&gt;"Delivered",TODAY()&gt;J646),TODAY()-J646,0)))</f>
        <v/>
      </c>
    </row>
    <row r="647">
      <c r="M647">
        <f>IF(J647="","",IF(K647&lt;&gt;"",MAX(0,K647-J647),IF(AND(L647&lt;&gt;"Delivered",TODAY()&gt;J647),TODAY()-J647,0)))</f>
        <v/>
      </c>
    </row>
    <row r="648">
      <c r="M648">
        <f>IF(J648="","",IF(K648&lt;&gt;"",MAX(0,K648-J648),IF(AND(L648&lt;&gt;"Delivered",TODAY()&gt;J648),TODAY()-J648,0)))</f>
        <v/>
      </c>
    </row>
    <row r="649">
      <c r="M649">
        <f>IF(J649="","",IF(K649&lt;&gt;"",MAX(0,K649-J649),IF(AND(L649&lt;&gt;"Delivered",TODAY()&gt;J649),TODAY()-J649,0)))</f>
        <v/>
      </c>
    </row>
    <row r="650">
      <c r="M650">
        <f>IF(J650="","",IF(K650&lt;&gt;"",MAX(0,K650-J650),IF(AND(L650&lt;&gt;"Delivered",TODAY()&gt;J650),TODAY()-J650,0)))</f>
        <v/>
      </c>
    </row>
    <row r="651">
      <c r="M651">
        <f>IF(J651="","",IF(K651&lt;&gt;"",MAX(0,K651-J651),IF(AND(L651&lt;&gt;"Delivered",TODAY()&gt;J651),TODAY()-J651,0)))</f>
        <v/>
      </c>
    </row>
    <row r="652">
      <c r="M652">
        <f>IF(J652="","",IF(K652&lt;&gt;"",MAX(0,K652-J652),IF(AND(L652&lt;&gt;"Delivered",TODAY()&gt;J652),TODAY()-J652,0)))</f>
        <v/>
      </c>
    </row>
    <row r="653">
      <c r="M653">
        <f>IF(J653="","",IF(K653&lt;&gt;"",MAX(0,K653-J653),IF(AND(L653&lt;&gt;"Delivered",TODAY()&gt;J653),TODAY()-J653,0)))</f>
        <v/>
      </c>
    </row>
    <row r="654">
      <c r="M654">
        <f>IF(J654="","",IF(K654&lt;&gt;"",MAX(0,K654-J654),IF(AND(L654&lt;&gt;"Delivered",TODAY()&gt;J654),TODAY()-J654,0)))</f>
        <v/>
      </c>
    </row>
    <row r="655">
      <c r="M655">
        <f>IF(J655="","",IF(K655&lt;&gt;"",MAX(0,K655-J655),IF(AND(L655&lt;&gt;"Delivered",TODAY()&gt;J655),TODAY()-J655,0)))</f>
        <v/>
      </c>
    </row>
    <row r="656">
      <c r="M656">
        <f>IF(J656="","",IF(K656&lt;&gt;"",MAX(0,K656-J656),IF(AND(L656&lt;&gt;"Delivered",TODAY()&gt;J656),TODAY()-J656,0)))</f>
        <v/>
      </c>
    </row>
    <row r="657">
      <c r="M657">
        <f>IF(J657="","",IF(K657&lt;&gt;"",MAX(0,K657-J657),IF(AND(L657&lt;&gt;"Delivered",TODAY()&gt;J657),TODAY()-J657,0)))</f>
        <v/>
      </c>
    </row>
    <row r="658">
      <c r="M658">
        <f>IF(J658="","",IF(K658&lt;&gt;"",MAX(0,K658-J658),IF(AND(L658&lt;&gt;"Delivered",TODAY()&gt;J658),TODAY()-J658,0)))</f>
        <v/>
      </c>
    </row>
    <row r="659">
      <c r="M659">
        <f>IF(J659="","",IF(K659&lt;&gt;"",MAX(0,K659-J659),IF(AND(L659&lt;&gt;"Delivered",TODAY()&gt;J659),TODAY()-J659,0)))</f>
        <v/>
      </c>
    </row>
    <row r="660">
      <c r="M660">
        <f>IF(J660="","",IF(K660&lt;&gt;"",MAX(0,K660-J660),IF(AND(L660&lt;&gt;"Delivered",TODAY()&gt;J660),TODAY()-J660,0)))</f>
        <v/>
      </c>
    </row>
    <row r="661">
      <c r="M661">
        <f>IF(J661="","",IF(K661&lt;&gt;"",MAX(0,K661-J661),IF(AND(L661&lt;&gt;"Delivered",TODAY()&gt;J661),TODAY()-J661,0)))</f>
        <v/>
      </c>
    </row>
    <row r="662">
      <c r="M662">
        <f>IF(J662="","",IF(K662&lt;&gt;"",MAX(0,K662-J662),IF(AND(L662&lt;&gt;"Delivered",TODAY()&gt;J662),TODAY()-J662,0)))</f>
        <v/>
      </c>
    </row>
    <row r="663">
      <c r="M663">
        <f>IF(J663="","",IF(K663&lt;&gt;"",MAX(0,K663-J663),IF(AND(L663&lt;&gt;"Delivered",TODAY()&gt;J663),TODAY()-J663,0)))</f>
        <v/>
      </c>
    </row>
    <row r="664">
      <c r="M664">
        <f>IF(J664="","",IF(K664&lt;&gt;"",MAX(0,K664-J664),IF(AND(L664&lt;&gt;"Delivered",TODAY()&gt;J664),TODAY()-J664,0)))</f>
        <v/>
      </c>
    </row>
    <row r="665">
      <c r="M665">
        <f>IF(J665="","",IF(K665&lt;&gt;"",MAX(0,K665-J665),IF(AND(L665&lt;&gt;"Delivered",TODAY()&gt;J665),TODAY()-J665,0)))</f>
        <v/>
      </c>
    </row>
    <row r="666">
      <c r="M666">
        <f>IF(J666="","",IF(K666&lt;&gt;"",MAX(0,K666-J666),IF(AND(L666&lt;&gt;"Delivered",TODAY()&gt;J666),TODAY()-J666,0)))</f>
        <v/>
      </c>
    </row>
    <row r="667">
      <c r="M667">
        <f>IF(J667="","",IF(K667&lt;&gt;"",MAX(0,K667-J667),IF(AND(L667&lt;&gt;"Delivered",TODAY()&gt;J667),TODAY()-J667,0)))</f>
        <v/>
      </c>
    </row>
    <row r="668">
      <c r="M668">
        <f>IF(J668="","",IF(K668&lt;&gt;"",MAX(0,K668-J668),IF(AND(L668&lt;&gt;"Delivered",TODAY()&gt;J668),TODAY()-J668,0)))</f>
        <v/>
      </c>
    </row>
    <row r="669">
      <c r="M669">
        <f>IF(J669="","",IF(K669&lt;&gt;"",MAX(0,K669-J669),IF(AND(L669&lt;&gt;"Delivered",TODAY()&gt;J669),TODAY()-J669,0)))</f>
        <v/>
      </c>
    </row>
    <row r="670">
      <c r="M670">
        <f>IF(J670="","",IF(K670&lt;&gt;"",MAX(0,K670-J670),IF(AND(L670&lt;&gt;"Delivered",TODAY()&gt;J670),TODAY()-J670,0)))</f>
        <v/>
      </c>
    </row>
    <row r="671">
      <c r="M671">
        <f>IF(J671="","",IF(K671&lt;&gt;"",MAX(0,K671-J671),IF(AND(L671&lt;&gt;"Delivered",TODAY()&gt;J671),TODAY()-J671,0)))</f>
        <v/>
      </c>
    </row>
    <row r="672">
      <c r="M672">
        <f>IF(J672="","",IF(K672&lt;&gt;"",MAX(0,K672-J672),IF(AND(L672&lt;&gt;"Delivered",TODAY()&gt;J672),TODAY()-J672,0)))</f>
        <v/>
      </c>
    </row>
    <row r="673">
      <c r="M673">
        <f>IF(J673="","",IF(K673&lt;&gt;"",MAX(0,K673-J673),IF(AND(L673&lt;&gt;"Delivered",TODAY()&gt;J673),TODAY()-J673,0)))</f>
        <v/>
      </c>
    </row>
    <row r="674">
      <c r="M674">
        <f>IF(J674="","",IF(K674&lt;&gt;"",MAX(0,K674-J674),IF(AND(L674&lt;&gt;"Delivered",TODAY()&gt;J674),TODAY()-J674,0)))</f>
        <v/>
      </c>
    </row>
    <row r="675">
      <c r="M675">
        <f>IF(J675="","",IF(K675&lt;&gt;"",MAX(0,K675-J675),IF(AND(L675&lt;&gt;"Delivered",TODAY()&gt;J675),TODAY()-J675,0)))</f>
        <v/>
      </c>
    </row>
    <row r="676">
      <c r="M676">
        <f>IF(J676="","",IF(K676&lt;&gt;"",MAX(0,K676-J676),IF(AND(L676&lt;&gt;"Delivered",TODAY()&gt;J676),TODAY()-J676,0)))</f>
        <v/>
      </c>
    </row>
    <row r="677">
      <c r="M677">
        <f>IF(J677="","",IF(K677&lt;&gt;"",MAX(0,K677-J677),IF(AND(L677&lt;&gt;"Delivered",TODAY()&gt;J677),TODAY()-J677,0)))</f>
        <v/>
      </c>
    </row>
    <row r="678">
      <c r="M678">
        <f>IF(J678="","",IF(K678&lt;&gt;"",MAX(0,K678-J678),IF(AND(L678&lt;&gt;"Delivered",TODAY()&gt;J678),TODAY()-J678,0)))</f>
        <v/>
      </c>
    </row>
    <row r="679">
      <c r="M679">
        <f>IF(J679="","",IF(K679&lt;&gt;"",MAX(0,K679-J679),IF(AND(L679&lt;&gt;"Delivered",TODAY()&gt;J679),TODAY()-J679,0)))</f>
        <v/>
      </c>
    </row>
    <row r="680">
      <c r="M680">
        <f>IF(J680="","",IF(K680&lt;&gt;"",MAX(0,K680-J680),IF(AND(L680&lt;&gt;"Delivered",TODAY()&gt;J680),TODAY()-J680,0)))</f>
        <v/>
      </c>
    </row>
    <row r="681">
      <c r="M681">
        <f>IF(J681="","",IF(K681&lt;&gt;"",MAX(0,K681-J681),IF(AND(L681&lt;&gt;"Delivered",TODAY()&gt;J681),TODAY()-J681,0)))</f>
        <v/>
      </c>
    </row>
    <row r="682">
      <c r="M682">
        <f>IF(J682="","",IF(K682&lt;&gt;"",MAX(0,K682-J682),IF(AND(L682&lt;&gt;"Delivered",TODAY()&gt;J682),TODAY()-J682,0)))</f>
        <v/>
      </c>
    </row>
    <row r="683">
      <c r="M683">
        <f>IF(J683="","",IF(K683&lt;&gt;"",MAX(0,K683-J683),IF(AND(L683&lt;&gt;"Delivered",TODAY()&gt;J683),TODAY()-J683,0)))</f>
        <v/>
      </c>
    </row>
    <row r="684">
      <c r="M684">
        <f>IF(J684="","",IF(K684&lt;&gt;"",MAX(0,K684-J684),IF(AND(L684&lt;&gt;"Delivered",TODAY()&gt;J684),TODAY()-J684,0)))</f>
        <v/>
      </c>
    </row>
    <row r="685">
      <c r="M685">
        <f>IF(J685="","",IF(K685&lt;&gt;"",MAX(0,K685-J685),IF(AND(L685&lt;&gt;"Delivered",TODAY()&gt;J685),TODAY()-J685,0)))</f>
        <v/>
      </c>
    </row>
    <row r="686">
      <c r="M686">
        <f>IF(J686="","",IF(K686&lt;&gt;"",MAX(0,K686-J686),IF(AND(L686&lt;&gt;"Delivered",TODAY()&gt;J686),TODAY()-J686,0)))</f>
        <v/>
      </c>
    </row>
    <row r="687">
      <c r="M687">
        <f>IF(J687="","",IF(K687&lt;&gt;"",MAX(0,K687-J687),IF(AND(L687&lt;&gt;"Delivered",TODAY()&gt;J687),TODAY()-J687,0)))</f>
        <v/>
      </c>
    </row>
    <row r="688">
      <c r="M688">
        <f>IF(J688="","",IF(K688&lt;&gt;"",MAX(0,K688-J688),IF(AND(L688&lt;&gt;"Delivered",TODAY()&gt;J688),TODAY()-J688,0)))</f>
        <v/>
      </c>
    </row>
    <row r="689">
      <c r="M689">
        <f>IF(J689="","",IF(K689&lt;&gt;"",MAX(0,K689-J689),IF(AND(L689&lt;&gt;"Delivered",TODAY()&gt;J689),TODAY()-J689,0)))</f>
        <v/>
      </c>
    </row>
    <row r="690">
      <c r="M690">
        <f>IF(J690="","",IF(K690&lt;&gt;"",MAX(0,K690-J690),IF(AND(L690&lt;&gt;"Delivered",TODAY()&gt;J690),TODAY()-J690,0)))</f>
        <v/>
      </c>
    </row>
    <row r="691">
      <c r="M691">
        <f>IF(J691="","",IF(K691&lt;&gt;"",MAX(0,K691-J691),IF(AND(L691&lt;&gt;"Delivered",TODAY()&gt;J691),TODAY()-J691,0)))</f>
        <v/>
      </c>
    </row>
    <row r="692">
      <c r="M692">
        <f>IF(J692="","",IF(K692&lt;&gt;"",MAX(0,K692-J692),IF(AND(L692&lt;&gt;"Delivered",TODAY()&gt;J692),TODAY()-J692,0)))</f>
        <v/>
      </c>
    </row>
    <row r="693">
      <c r="M693">
        <f>IF(J693="","",IF(K693&lt;&gt;"",MAX(0,K693-J693),IF(AND(L693&lt;&gt;"Delivered",TODAY()&gt;J693),TODAY()-J693,0)))</f>
        <v/>
      </c>
    </row>
    <row r="694">
      <c r="M694">
        <f>IF(J694="","",IF(K694&lt;&gt;"",MAX(0,K694-J694),IF(AND(L694&lt;&gt;"Delivered",TODAY()&gt;J694),TODAY()-J694,0)))</f>
        <v/>
      </c>
    </row>
    <row r="695">
      <c r="M695">
        <f>IF(J695="","",IF(K695&lt;&gt;"",MAX(0,K695-J695),IF(AND(L695&lt;&gt;"Delivered",TODAY()&gt;J695),TODAY()-J695,0)))</f>
        <v/>
      </c>
    </row>
    <row r="696">
      <c r="M696">
        <f>IF(J696="","",IF(K696&lt;&gt;"",MAX(0,K696-J696),IF(AND(L696&lt;&gt;"Delivered",TODAY()&gt;J696),TODAY()-J696,0)))</f>
        <v/>
      </c>
    </row>
    <row r="697">
      <c r="M697">
        <f>IF(J697="","",IF(K697&lt;&gt;"",MAX(0,K697-J697),IF(AND(L697&lt;&gt;"Delivered",TODAY()&gt;J697),TODAY()-J697,0)))</f>
        <v/>
      </c>
    </row>
    <row r="698">
      <c r="M698">
        <f>IF(J698="","",IF(K698&lt;&gt;"",MAX(0,K698-J698),IF(AND(L698&lt;&gt;"Delivered",TODAY()&gt;J698),TODAY()-J698,0)))</f>
        <v/>
      </c>
    </row>
    <row r="699">
      <c r="M699">
        <f>IF(J699="","",IF(K699&lt;&gt;"",MAX(0,K699-J699),IF(AND(L699&lt;&gt;"Delivered",TODAY()&gt;J699),TODAY()-J699,0)))</f>
        <v/>
      </c>
    </row>
    <row r="700">
      <c r="M700">
        <f>IF(J700="","",IF(K700&lt;&gt;"",MAX(0,K700-J700),IF(AND(L700&lt;&gt;"Delivered",TODAY()&gt;J700),TODAY()-J700,0)))</f>
        <v/>
      </c>
    </row>
    <row r="701">
      <c r="M701">
        <f>IF(J701="","",IF(K701&lt;&gt;"",MAX(0,K701-J701),IF(AND(L701&lt;&gt;"Delivered",TODAY()&gt;J701),TODAY()-J701,0)))</f>
        <v/>
      </c>
    </row>
    <row r="702">
      <c r="M702">
        <f>IF(J702="","",IF(K702&lt;&gt;"",MAX(0,K702-J702),IF(AND(L702&lt;&gt;"Delivered",TODAY()&gt;J702),TODAY()-J702,0)))</f>
        <v/>
      </c>
    </row>
    <row r="703">
      <c r="M703">
        <f>IF(J703="","",IF(K703&lt;&gt;"",MAX(0,K703-J703),IF(AND(L703&lt;&gt;"Delivered",TODAY()&gt;J703),TODAY()-J703,0)))</f>
        <v/>
      </c>
    </row>
    <row r="704">
      <c r="M704">
        <f>IF(J704="","",IF(K704&lt;&gt;"",MAX(0,K704-J704),IF(AND(L704&lt;&gt;"Delivered",TODAY()&gt;J704),TODAY()-J704,0)))</f>
        <v/>
      </c>
    </row>
    <row r="705">
      <c r="M705">
        <f>IF(J705="","",IF(K705&lt;&gt;"",MAX(0,K705-J705),IF(AND(L705&lt;&gt;"Delivered",TODAY()&gt;J705),TODAY()-J705,0)))</f>
        <v/>
      </c>
    </row>
    <row r="706">
      <c r="M706">
        <f>IF(J706="","",IF(K706&lt;&gt;"",MAX(0,K706-J706),IF(AND(L706&lt;&gt;"Delivered",TODAY()&gt;J706),TODAY()-J706,0)))</f>
        <v/>
      </c>
    </row>
    <row r="707">
      <c r="M707">
        <f>IF(J707="","",IF(K707&lt;&gt;"",MAX(0,K707-J707),IF(AND(L707&lt;&gt;"Delivered",TODAY()&gt;J707),TODAY()-J707,0)))</f>
        <v/>
      </c>
    </row>
    <row r="708">
      <c r="M708">
        <f>IF(J708="","",IF(K708&lt;&gt;"",MAX(0,K708-J708),IF(AND(L708&lt;&gt;"Delivered",TODAY()&gt;J708),TODAY()-J708,0)))</f>
        <v/>
      </c>
    </row>
    <row r="709">
      <c r="M709">
        <f>IF(J709="","",IF(K709&lt;&gt;"",MAX(0,K709-J709),IF(AND(L709&lt;&gt;"Delivered",TODAY()&gt;J709),TODAY()-J709,0)))</f>
        <v/>
      </c>
    </row>
    <row r="710">
      <c r="M710">
        <f>IF(J710="","",IF(K710&lt;&gt;"",MAX(0,K710-J710),IF(AND(L710&lt;&gt;"Delivered",TODAY()&gt;J710),TODAY()-J710,0)))</f>
        <v/>
      </c>
    </row>
    <row r="711">
      <c r="M711">
        <f>IF(J711="","",IF(K711&lt;&gt;"",MAX(0,K711-J711),IF(AND(L711&lt;&gt;"Delivered",TODAY()&gt;J711),TODAY()-J711,0)))</f>
        <v/>
      </c>
    </row>
    <row r="712">
      <c r="M712">
        <f>IF(J712="","",IF(K712&lt;&gt;"",MAX(0,K712-J712),IF(AND(L712&lt;&gt;"Delivered",TODAY()&gt;J712),TODAY()-J712,0)))</f>
        <v/>
      </c>
    </row>
    <row r="713">
      <c r="M713">
        <f>IF(J713="","",IF(K713&lt;&gt;"",MAX(0,K713-J713),IF(AND(L713&lt;&gt;"Delivered",TODAY()&gt;J713),TODAY()-J713,0)))</f>
        <v/>
      </c>
    </row>
    <row r="714">
      <c r="M714">
        <f>IF(J714="","",IF(K714&lt;&gt;"",MAX(0,K714-J714),IF(AND(L714&lt;&gt;"Delivered",TODAY()&gt;J714),TODAY()-J714,0)))</f>
        <v/>
      </c>
    </row>
    <row r="715">
      <c r="M715">
        <f>IF(J715="","",IF(K715&lt;&gt;"",MAX(0,K715-J715),IF(AND(L715&lt;&gt;"Delivered",TODAY()&gt;J715),TODAY()-J715,0)))</f>
        <v/>
      </c>
    </row>
    <row r="716">
      <c r="M716">
        <f>IF(J716="","",IF(K716&lt;&gt;"",MAX(0,K716-J716),IF(AND(L716&lt;&gt;"Delivered",TODAY()&gt;J716),TODAY()-J716,0)))</f>
        <v/>
      </c>
    </row>
    <row r="717">
      <c r="M717">
        <f>IF(J717="","",IF(K717&lt;&gt;"",MAX(0,K717-J717),IF(AND(L717&lt;&gt;"Delivered",TODAY()&gt;J717),TODAY()-J717,0)))</f>
        <v/>
      </c>
    </row>
    <row r="718">
      <c r="M718">
        <f>IF(J718="","",IF(K718&lt;&gt;"",MAX(0,K718-J718),IF(AND(L718&lt;&gt;"Delivered",TODAY()&gt;J718),TODAY()-J718,0)))</f>
        <v/>
      </c>
    </row>
    <row r="719">
      <c r="M719">
        <f>IF(J719="","",IF(K719&lt;&gt;"",MAX(0,K719-J719),IF(AND(L719&lt;&gt;"Delivered",TODAY()&gt;J719),TODAY()-J719,0)))</f>
        <v/>
      </c>
    </row>
    <row r="720">
      <c r="M720">
        <f>IF(J720="","",IF(K720&lt;&gt;"",MAX(0,K720-J720),IF(AND(L720&lt;&gt;"Delivered",TODAY()&gt;J720),TODAY()-J720,0)))</f>
        <v/>
      </c>
    </row>
    <row r="721">
      <c r="M721">
        <f>IF(J721="","",IF(K721&lt;&gt;"",MAX(0,K721-J721),IF(AND(L721&lt;&gt;"Delivered",TODAY()&gt;J721),TODAY()-J721,0)))</f>
        <v/>
      </c>
    </row>
    <row r="722">
      <c r="M722">
        <f>IF(J722="","",IF(K722&lt;&gt;"",MAX(0,K722-J722),IF(AND(L722&lt;&gt;"Delivered",TODAY()&gt;J722),TODAY()-J722,0)))</f>
        <v/>
      </c>
    </row>
    <row r="723">
      <c r="M723">
        <f>IF(J723="","",IF(K723&lt;&gt;"",MAX(0,K723-J723),IF(AND(L723&lt;&gt;"Delivered",TODAY()&gt;J723),TODAY()-J723,0)))</f>
        <v/>
      </c>
    </row>
    <row r="724">
      <c r="M724">
        <f>IF(J724="","",IF(K724&lt;&gt;"",MAX(0,K724-J724),IF(AND(L724&lt;&gt;"Delivered",TODAY()&gt;J724),TODAY()-J724,0)))</f>
        <v/>
      </c>
    </row>
    <row r="725">
      <c r="M725">
        <f>IF(J725="","",IF(K725&lt;&gt;"",MAX(0,K725-J725),IF(AND(L725&lt;&gt;"Delivered",TODAY()&gt;J725),TODAY()-J725,0)))</f>
        <v/>
      </c>
    </row>
    <row r="726">
      <c r="M726">
        <f>IF(J726="","",IF(K726&lt;&gt;"",MAX(0,K726-J726),IF(AND(L726&lt;&gt;"Delivered",TODAY()&gt;J726),TODAY()-J726,0)))</f>
        <v/>
      </c>
    </row>
    <row r="727">
      <c r="M727">
        <f>IF(J727="","",IF(K727&lt;&gt;"",MAX(0,K727-J727),IF(AND(L727&lt;&gt;"Delivered",TODAY()&gt;J727),TODAY()-J727,0)))</f>
        <v/>
      </c>
    </row>
    <row r="728">
      <c r="M728">
        <f>IF(J728="","",IF(K728&lt;&gt;"",MAX(0,K728-J728),IF(AND(L728&lt;&gt;"Delivered",TODAY()&gt;J728),TODAY()-J728,0)))</f>
        <v/>
      </c>
    </row>
    <row r="729">
      <c r="M729">
        <f>IF(J729="","",IF(K729&lt;&gt;"",MAX(0,K729-J729),IF(AND(L729&lt;&gt;"Delivered",TODAY()&gt;J729),TODAY()-J729,0)))</f>
        <v/>
      </c>
    </row>
    <row r="730">
      <c r="M730">
        <f>IF(J730="","",IF(K730&lt;&gt;"",MAX(0,K730-J730),IF(AND(L730&lt;&gt;"Delivered",TODAY()&gt;J730),TODAY()-J730,0)))</f>
        <v/>
      </c>
    </row>
    <row r="731">
      <c r="M731">
        <f>IF(J731="","",IF(K731&lt;&gt;"",MAX(0,K731-J731),IF(AND(L731&lt;&gt;"Delivered",TODAY()&gt;J731),TODAY()-J731,0)))</f>
        <v/>
      </c>
    </row>
    <row r="732">
      <c r="M732">
        <f>IF(J732="","",IF(K732&lt;&gt;"",MAX(0,K732-J732),IF(AND(L732&lt;&gt;"Delivered",TODAY()&gt;J732),TODAY()-J732,0)))</f>
        <v/>
      </c>
    </row>
    <row r="733">
      <c r="M733">
        <f>IF(J733="","",IF(K733&lt;&gt;"",MAX(0,K733-J733),IF(AND(L733&lt;&gt;"Delivered",TODAY()&gt;J733),TODAY()-J733,0)))</f>
        <v/>
      </c>
    </row>
    <row r="734">
      <c r="M734">
        <f>IF(J734="","",IF(K734&lt;&gt;"",MAX(0,K734-J734),IF(AND(L734&lt;&gt;"Delivered",TODAY()&gt;J734),TODAY()-J734,0)))</f>
        <v/>
      </c>
    </row>
    <row r="735">
      <c r="M735">
        <f>IF(J735="","",IF(K735&lt;&gt;"",MAX(0,K735-J735),IF(AND(L735&lt;&gt;"Delivered",TODAY()&gt;J735),TODAY()-J735,0)))</f>
        <v/>
      </c>
    </row>
    <row r="736">
      <c r="M736">
        <f>IF(J736="","",IF(K736&lt;&gt;"",MAX(0,K736-J736),IF(AND(L736&lt;&gt;"Delivered",TODAY()&gt;J736),TODAY()-J736,0)))</f>
        <v/>
      </c>
    </row>
    <row r="737">
      <c r="M737">
        <f>IF(J737="","",IF(K737&lt;&gt;"",MAX(0,K737-J737),IF(AND(L737&lt;&gt;"Delivered",TODAY()&gt;J737),TODAY()-J737,0)))</f>
        <v/>
      </c>
    </row>
    <row r="738">
      <c r="M738">
        <f>IF(J738="","",IF(K738&lt;&gt;"",MAX(0,K738-J738),IF(AND(L738&lt;&gt;"Delivered",TODAY()&gt;J738),TODAY()-J738,0)))</f>
        <v/>
      </c>
    </row>
    <row r="739">
      <c r="M739">
        <f>IF(J739="","",IF(K739&lt;&gt;"",MAX(0,K739-J739),IF(AND(L739&lt;&gt;"Delivered",TODAY()&gt;J739),TODAY()-J739,0)))</f>
        <v/>
      </c>
    </row>
    <row r="740">
      <c r="M740">
        <f>IF(J740="","",IF(K740&lt;&gt;"",MAX(0,K740-J740),IF(AND(L740&lt;&gt;"Delivered",TODAY()&gt;J740),TODAY()-J740,0)))</f>
        <v/>
      </c>
    </row>
    <row r="741">
      <c r="M741">
        <f>IF(J741="","",IF(K741&lt;&gt;"",MAX(0,K741-J741),IF(AND(L741&lt;&gt;"Delivered",TODAY()&gt;J741),TODAY()-J741,0)))</f>
        <v/>
      </c>
    </row>
    <row r="742">
      <c r="M742">
        <f>IF(J742="","",IF(K742&lt;&gt;"",MAX(0,K742-J742),IF(AND(L742&lt;&gt;"Delivered",TODAY()&gt;J742),TODAY()-J742,0)))</f>
        <v/>
      </c>
    </row>
    <row r="743">
      <c r="M743">
        <f>IF(J743="","",IF(K743&lt;&gt;"",MAX(0,K743-J743),IF(AND(L743&lt;&gt;"Delivered",TODAY()&gt;J743),TODAY()-J743,0)))</f>
        <v/>
      </c>
    </row>
    <row r="744">
      <c r="M744">
        <f>IF(J744="","",IF(K744&lt;&gt;"",MAX(0,K744-J744),IF(AND(L744&lt;&gt;"Delivered",TODAY()&gt;J744),TODAY()-J744,0)))</f>
        <v/>
      </c>
    </row>
    <row r="745">
      <c r="M745">
        <f>IF(J745="","",IF(K745&lt;&gt;"",MAX(0,K745-J745),IF(AND(L745&lt;&gt;"Delivered",TODAY()&gt;J745),TODAY()-J745,0)))</f>
        <v/>
      </c>
    </row>
    <row r="746">
      <c r="M746">
        <f>IF(J746="","",IF(K746&lt;&gt;"",MAX(0,K746-J746),IF(AND(L746&lt;&gt;"Delivered",TODAY()&gt;J746),TODAY()-J746,0)))</f>
        <v/>
      </c>
    </row>
    <row r="747">
      <c r="M747">
        <f>IF(J747="","",IF(K747&lt;&gt;"",MAX(0,K747-J747),IF(AND(L747&lt;&gt;"Delivered",TODAY()&gt;J747),TODAY()-J747,0)))</f>
        <v/>
      </c>
    </row>
    <row r="748">
      <c r="M748">
        <f>IF(J748="","",IF(K748&lt;&gt;"",MAX(0,K748-J748),IF(AND(L748&lt;&gt;"Delivered",TODAY()&gt;J748),TODAY()-J748,0)))</f>
        <v/>
      </c>
    </row>
    <row r="749">
      <c r="M749">
        <f>IF(J749="","",IF(K749&lt;&gt;"",MAX(0,K749-J749),IF(AND(L749&lt;&gt;"Delivered",TODAY()&gt;J749),TODAY()-J749,0)))</f>
        <v/>
      </c>
    </row>
    <row r="750">
      <c r="M750">
        <f>IF(J750="","",IF(K750&lt;&gt;"",MAX(0,K750-J750),IF(AND(L750&lt;&gt;"Delivered",TODAY()&gt;J750),TODAY()-J750,0)))</f>
        <v/>
      </c>
    </row>
    <row r="751">
      <c r="M751">
        <f>IF(J751="","",IF(K751&lt;&gt;"",MAX(0,K751-J751),IF(AND(L751&lt;&gt;"Delivered",TODAY()&gt;J751),TODAY()-J751,0)))</f>
        <v/>
      </c>
    </row>
    <row r="752">
      <c r="M752">
        <f>IF(J752="","",IF(K752&lt;&gt;"",MAX(0,K752-J752),IF(AND(L752&lt;&gt;"Delivered",TODAY()&gt;J752),TODAY()-J752,0)))</f>
        <v/>
      </c>
    </row>
    <row r="753">
      <c r="M753">
        <f>IF(J753="","",IF(K753&lt;&gt;"",MAX(0,K753-J753),IF(AND(L753&lt;&gt;"Delivered",TODAY()&gt;J753),TODAY()-J753,0)))</f>
        <v/>
      </c>
    </row>
    <row r="754">
      <c r="M754">
        <f>IF(J754="","",IF(K754&lt;&gt;"",MAX(0,K754-J754),IF(AND(L754&lt;&gt;"Delivered",TODAY()&gt;J754),TODAY()-J754,0)))</f>
        <v/>
      </c>
    </row>
    <row r="755">
      <c r="M755">
        <f>IF(J755="","",IF(K755&lt;&gt;"",MAX(0,K755-J755),IF(AND(L755&lt;&gt;"Delivered",TODAY()&gt;J755),TODAY()-J755,0)))</f>
        <v/>
      </c>
    </row>
    <row r="756">
      <c r="M756">
        <f>IF(J756="","",IF(K756&lt;&gt;"",MAX(0,K756-J756),IF(AND(L756&lt;&gt;"Delivered",TODAY()&gt;J756),TODAY()-J756,0)))</f>
        <v/>
      </c>
    </row>
    <row r="757">
      <c r="M757">
        <f>IF(J757="","",IF(K757&lt;&gt;"",MAX(0,K757-J757),IF(AND(L757&lt;&gt;"Delivered",TODAY()&gt;J757),TODAY()-J757,0)))</f>
        <v/>
      </c>
    </row>
    <row r="758">
      <c r="M758">
        <f>IF(J758="","",IF(K758&lt;&gt;"",MAX(0,K758-J758),IF(AND(L758&lt;&gt;"Delivered",TODAY()&gt;J758),TODAY()-J758,0)))</f>
        <v/>
      </c>
    </row>
    <row r="759">
      <c r="M759">
        <f>IF(J759="","",IF(K759&lt;&gt;"",MAX(0,K759-J759),IF(AND(L759&lt;&gt;"Delivered",TODAY()&gt;J759),TODAY()-J759,0)))</f>
        <v/>
      </c>
    </row>
    <row r="760">
      <c r="M760">
        <f>IF(J760="","",IF(K760&lt;&gt;"",MAX(0,K760-J760),IF(AND(L760&lt;&gt;"Delivered",TODAY()&gt;J760),TODAY()-J760,0)))</f>
        <v/>
      </c>
    </row>
    <row r="761">
      <c r="M761">
        <f>IF(J761="","",IF(K761&lt;&gt;"",MAX(0,K761-J761),IF(AND(L761&lt;&gt;"Delivered",TODAY()&gt;J761),TODAY()-J761,0)))</f>
        <v/>
      </c>
    </row>
    <row r="762">
      <c r="M762">
        <f>IF(J762="","",IF(K762&lt;&gt;"",MAX(0,K762-J762),IF(AND(L762&lt;&gt;"Delivered",TODAY()&gt;J762),TODAY()-J762,0)))</f>
        <v/>
      </c>
    </row>
    <row r="763">
      <c r="M763">
        <f>IF(J763="","",IF(K763&lt;&gt;"",MAX(0,K763-J763),IF(AND(L763&lt;&gt;"Delivered",TODAY()&gt;J763),TODAY()-J763,0)))</f>
        <v/>
      </c>
    </row>
    <row r="764">
      <c r="M764">
        <f>IF(J764="","",IF(K764&lt;&gt;"",MAX(0,K764-J764),IF(AND(L764&lt;&gt;"Delivered",TODAY()&gt;J764),TODAY()-J764,0)))</f>
        <v/>
      </c>
    </row>
    <row r="765">
      <c r="M765">
        <f>IF(J765="","",IF(K765&lt;&gt;"",MAX(0,K765-J765),IF(AND(L765&lt;&gt;"Delivered",TODAY()&gt;J765),TODAY()-J765,0)))</f>
        <v/>
      </c>
    </row>
    <row r="766">
      <c r="M766">
        <f>IF(J766="","",IF(K766&lt;&gt;"",MAX(0,K766-J766),IF(AND(L766&lt;&gt;"Delivered",TODAY()&gt;J766),TODAY()-J766,0)))</f>
        <v/>
      </c>
    </row>
    <row r="767">
      <c r="M767">
        <f>IF(J767="","",IF(K767&lt;&gt;"",MAX(0,K767-J767),IF(AND(L767&lt;&gt;"Delivered",TODAY()&gt;J767),TODAY()-J767,0)))</f>
        <v/>
      </c>
    </row>
    <row r="768">
      <c r="M768">
        <f>IF(J768="","",IF(K768&lt;&gt;"",MAX(0,K768-J768),IF(AND(L768&lt;&gt;"Delivered",TODAY()&gt;J768),TODAY()-J768,0)))</f>
        <v/>
      </c>
    </row>
    <row r="769">
      <c r="M769">
        <f>IF(J769="","",IF(K769&lt;&gt;"",MAX(0,K769-J769),IF(AND(L769&lt;&gt;"Delivered",TODAY()&gt;J769),TODAY()-J769,0)))</f>
        <v/>
      </c>
    </row>
    <row r="770">
      <c r="M770">
        <f>IF(J770="","",IF(K770&lt;&gt;"",MAX(0,K770-J770),IF(AND(L770&lt;&gt;"Delivered",TODAY()&gt;J770),TODAY()-J770,0)))</f>
        <v/>
      </c>
    </row>
    <row r="771">
      <c r="M771">
        <f>IF(J771="","",IF(K771&lt;&gt;"",MAX(0,K771-J771),IF(AND(L771&lt;&gt;"Delivered",TODAY()&gt;J771),TODAY()-J771,0)))</f>
        <v/>
      </c>
    </row>
    <row r="772">
      <c r="M772">
        <f>IF(J772="","",IF(K772&lt;&gt;"",MAX(0,K772-J772),IF(AND(L772&lt;&gt;"Delivered",TODAY()&gt;J772),TODAY()-J772,0)))</f>
        <v/>
      </c>
    </row>
    <row r="773">
      <c r="M773">
        <f>IF(J773="","",IF(K773&lt;&gt;"",MAX(0,K773-J773),IF(AND(L773&lt;&gt;"Delivered",TODAY()&gt;J773),TODAY()-J773,0)))</f>
        <v/>
      </c>
    </row>
    <row r="774">
      <c r="M774">
        <f>IF(J774="","",IF(K774&lt;&gt;"",MAX(0,K774-J774),IF(AND(L774&lt;&gt;"Delivered",TODAY()&gt;J774),TODAY()-J774,0)))</f>
        <v/>
      </c>
    </row>
    <row r="775">
      <c r="M775">
        <f>IF(J775="","",IF(K775&lt;&gt;"",MAX(0,K775-J775),IF(AND(L775&lt;&gt;"Delivered",TODAY()&gt;J775),TODAY()-J775,0)))</f>
        <v/>
      </c>
    </row>
    <row r="776">
      <c r="M776">
        <f>IF(J776="","",IF(K776&lt;&gt;"",MAX(0,K776-J776),IF(AND(L776&lt;&gt;"Delivered",TODAY()&gt;J776),TODAY()-J776,0)))</f>
        <v/>
      </c>
    </row>
    <row r="777">
      <c r="M777">
        <f>IF(J777="","",IF(K777&lt;&gt;"",MAX(0,K777-J777),IF(AND(L777&lt;&gt;"Delivered",TODAY()&gt;J777),TODAY()-J777,0)))</f>
        <v/>
      </c>
    </row>
    <row r="778">
      <c r="M778">
        <f>IF(J778="","",IF(K778&lt;&gt;"",MAX(0,K778-J778),IF(AND(L778&lt;&gt;"Delivered",TODAY()&gt;J778),TODAY()-J778,0)))</f>
        <v/>
      </c>
    </row>
    <row r="779">
      <c r="M779">
        <f>IF(J779="","",IF(K779&lt;&gt;"",MAX(0,K779-J779),IF(AND(L779&lt;&gt;"Delivered",TODAY()&gt;J779),TODAY()-J779,0)))</f>
        <v/>
      </c>
    </row>
    <row r="780">
      <c r="M780">
        <f>IF(J780="","",IF(K780&lt;&gt;"",MAX(0,K780-J780),IF(AND(L780&lt;&gt;"Delivered",TODAY()&gt;J780),TODAY()-J780,0)))</f>
        <v/>
      </c>
    </row>
    <row r="781">
      <c r="M781">
        <f>IF(J781="","",IF(K781&lt;&gt;"",MAX(0,K781-J781),IF(AND(L781&lt;&gt;"Delivered",TODAY()&gt;J781),TODAY()-J781,0)))</f>
        <v/>
      </c>
    </row>
    <row r="782">
      <c r="M782">
        <f>IF(J782="","",IF(K782&lt;&gt;"",MAX(0,K782-J782),IF(AND(L782&lt;&gt;"Delivered",TODAY()&gt;J782),TODAY()-J782,0)))</f>
        <v/>
      </c>
    </row>
    <row r="783">
      <c r="M783">
        <f>IF(J783="","",IF(K783&lt;&gt;"",MAX(0,K783-J783),IF(AND(L783&lt;&gt;"Delivered",TODAY()&gt;J783),TODAY()-J783,0)))</f>
        <v/>
      </c>
    </row>
    <row r="784">
      <c r="M784">
        <f>IF(J784="","",IF(K784&lt;&gt;"",MAX(0,K784-J784),IF(AND(L784&lt;&gt;"Delivered",TODAY()&gt;J784),TODAY()-J784,0)))</f>
        <v/>
      </c>
    </row>
    <row r="785">
      <c r="M785">
        <f>IF(J785="","",IF(K785&lt;&gt;"",MAX(0,K785-J785),IF(AND(L785&lt;&gt;"Delivered",TODAY()&gt;J785),TODAY()-J785,0)))</f>
        <v/>
      </c>
    </row>
    <row r="786">
      <c r="M786">
        <f>IF(J786="","",IF(K786&lt;&gt;"",MAX(0,K786-J786),IF(AND(L786&lt;&gt;"Delivered",TODAY()&gt;J786),TODAY()-J786,0)))</f>
        <v/>
      </c>
    </row>
    <row r="787">
      <c r="M787">
        <f>IF(J787="","",IF(K787&lt;&gt;"",MAX(0,K787-J787),IF(AND(L787&lt;&gt;"Delivered",TODAY()&gt;J787),TODAY()-J787,0)))</f>
        <v/>
      </c>
    </row>
    <row r="788">
      <c r="M788">
        <f>IF(J788="","",IF(K788&lt;&gt;"",MAX(0,K788-J788),IF(AND(L788&lt;&gt;"Delivered",TODAY()&gt;J788),TODAY()-J788,0)))</f>
        <v/>
      </c>
    </row>
    <row r="789">
      <c r="M789">
        <f>IF(J789="","",IF(K789&lt;&gt;"",MAX(0,K789-J789),IF(AND(L789&lt;&gt;"Delivered",TODAY()&gt;J789),TODAY()-J789,0)))</f>
        <v/>
      </c>
    </row>
    <row r="790">
      <c r="M790">
        <f>IF(J790="","",IF(K790&lt;&gt;"",MAX(0,K790-J790),IF(AND(L790&lt;&gt;"Delivered",TODAY()&gt;J790),TODAY()-J790,0)))</f>
        <v/>
      </c>
    </row>
    <row r="791">
      <c r="M791">
        <f>IF(J791="","",IF(K791&lt;&gt;"",MAX(0,K791-J791),IF(AND(L791&lt;&gt;"Delivered",TODAY()&gt;J791),TODAY()-J791,0)))</f>
        <v/>
      </c>
    </row>
    <row r="792">
      <c r="M792">
        <f>IF(J792="","",IF(K792&lt;&gt;"",MAX(0,K792-J792),IF(AND(L792&lt;&gt;"Delivered",TODAY()&gt;J792),TODAY()-J792,0)))</f>
        <v/>
      </c>
    </row>
    <row r="793">
      <c r="M793">
        <f>IF(J793="","",IF(K793&lt;&gt;"",MAX(0,K793-J793),IF(AND(L793&lt;&gt;"Delivered",TODAY()&gt;J793),TODAY()-J793,0)))</f>
        <v/>
      </c>
    </row>
    <row r="794">
      <c r="M794">
        <f>IF(J794="","",IF(K794&lt;&gt;"",MAX(0,K794-J794),IF(AND(L794&lt;&gt;"Delivered",TODAY()&gt;J794),TODAY()-J794,0)))</f>
        <v/>
      </c>
    </row>
    <row r="795">
      <c r="M795">
        <f>IF(J795="","",IF(K795&lt;&gt;"",MAX(0,K795-J795),IF(AND(L795&lt;&gt;"Delivered",TODAY()&gt;J795),TODAY()-J795,0)))</f>
        <v/>
      </c>
    </row>
    <row r="796">
      <c r="M796">
        <f>IF(J796="","",IF(K796&lt;&gt;"",MAX(0,K796-J796),IF(AND(L796&lt;&gt;"Delivered",TODAY()&gt;J796),TODAY()-J796,0)))</f>
        <v/>
      </c>
    </row>
    <row r="797">
      <c r="M797">
        <f>IF(J797="","",IF(K797&lt;&gt;"",MAX(0,K797-J797),IF(AND(L797&lt;&gt;"Delivered",TODAY()&gt;J797),TODAY()-J797,0)))</f>
        <v/>
      </c>
    </row>
    <row r="798">
      <c r="M798">
        <f>IF(J798="","",IF(K798&lt;&gt;"",MAX(0,K798-J798),IF(AND(L798&lt;&gt;"Delivered",TODAY()&gt;J798),TODAY()-J798,0)))</f>
        <v/>
      </c>
    </row>
    <row r="799">
      <c r="M799">
        <f>IF(J799="","",IF(K799&lt;&gt;"",MAX(0,K799-J799),IF(AND(L799&lt;&gt;"Delivered",TODAY()&gt;J799),TODAY()-J799,0)))</f>
        <v/>
      </c>
    </row>
    <row r="800">
      <c r="M800">
        <f>IF(J800="","",IF(K800&lt;&gt;"",MAX(0,K800-J800),IF(AND(L800&lt;&gt;"Delivered",TODAY()&gt;J800),TODAY()-J800,0)))</f>
        <v/>
      </c>
    </row>
    <row r="801">
      <c r="M801">
        <f>IF(J801="","",IF(K801&lt;&gt;"",MAX(0,K801-J801),IF(AND(L801&lt;&gt;"Delivered",TODAY()&gt;J801),TODAY()-J801,0)))</f>
        <v/>
      </c>
    </row>
    <row r="802">
      <c r="M802">
        <f>IF(J802="","",IF(K802&lt;&gt;"",MAX(0,K802-J802),IF(AND(L802&lt;&gt;"Delivered",TODAY()&gt;J802),TODAY()-J802,0)))</f>
        <v/>
      </c>
    </row>
    <row r="803">
      <c r="M803">
        <f>IF(J803="","",IF(K803&lt;&gt;"",MAX(0,K803-J803),IF(AND(L803&lt;&gt;"Delivered",TODAY()&gt;J803),TODAY()-J803,0)))</f>
        <v/>
      </c>
    </row>
    <row r="804">
      <c r="M804">
        <f>IF(J804="","",IF(K804&lt;&gt;"",MAX(0,K804-J804),IF(AND(L804&lt;&gt;"Delivered",TODAY()&gt;J804),TODAY()-J804,0)))</f>
        <v/>
      </c>
    </row>
    <row r="805">
      <c r="M805">
        <f>IF(J805="","",IF(K805&lt;&gt;"",MAX(0,K805-J805),IF(AND(L805&lt;&gt;"Delivered",TODAY()&gt;J805),TODAY()-J805,0)))</f>
        <v/>
      </c>
    </row>
    <row r="806">
      <c r="M806">
        <f>IF(J806="","",IF(K806&lt;&gt;"",MAX(0,K806-J806),IF(AND(L806&lt;&gt;"Delivered",TODAY()&gt;J806),TODAY()-J806,0)))</f>
        <v/>
      </c>
    </row>
    <row r="807">
      <c r="M807">
        <f>IF(J807="","",IF(K807&lt;&gt;"",MAX(0,K807-J807),IF(AND(L807&lt;&gt;"Delivered",TODAY()&gt;J807),TODAY()-J807,0)))</f>
        <v/>
      </c>
    </row>
    <row r="808">
      <c r="M808">
        <f>IF(J808="","",IF(K808&lt;&gt;"",MAX(0,K808-J808),IF(AND(L808&lt;&gt;"Delivered",TODAY()&gt;J808),TODAY()-J808,0)))</f>
        <v/>
      </c>
    </row>
    <row r="809">
      <c r="M809">
        <f>IF(J809="","",IF(K809&lt;&gt;"",MAX(0,K809-J809),IF(AND(L809&lt;&gt;"Delivered",TODAY()&gt;J809),TODAY()-J809,0)))</f>
        <v/>
      </c>
    </row>
    <row r="810">
      <c r="M810">
        <f>IF(J810="","",IF(K810&lt;&gt;"",MAX(0,K810-J810),IF(AND(L810&lt;&gt;"Delivered",TODAY()&gt;J810),TODAY()-J810,0)))</f>
        <v/>
      </c>
    </row>
    <row r="811">
      <c r="M811">
        <f>IF(J811="","",IF(K811&lt;&gt;"",MAX(0,K811-J811),IF(AND(L811&lt;&gt;"Delivered",TODAY()&gt;J811),TODAY()-J811,0)))</f>
        <v/>
      </c>
    </row>
    <row r="812">
      <c r="M812">
        <f>IF(J812="","",IF(K812&lt;&gt;"",MAX(0,K812-J812),IF(AND(L812&lt;&gt;"Delivered",TODAY()&gt;J812),TODAY()-J812,0)))</f>
        <v/>
      </c>
    </row>
    <row r="813">
      <c r="M813">
        <f>IF(J813="","",IF(K813&lt;&gt;"",MAX(0,K813-J813),IF(AND(L813&lt;&gt;"Delivered",TODAY()&gt;J813),TODAY()-J813,0)))</f>
        <v/>
      </c>
    </row>
    <row r="814">
      <c r="M814">
        <f>IF(J814="","",IF(K814&lt;&gt;"",MAX(0,K814-J814),IF(AND(L814&lt;&gt;"Delivered",TODAY()&gt;J814),TODAY()-J814,0)))</f>
        <v/>
      </c>
    </row>
    <row r="815">
      <c r="M815">
        <f>IF(J815="","",IF(K815&lt;&gt;"",MAX(0,K815-J815),IF(AND(L815&lt;&gt;"Delivered",TODAY()&gt;J815),TODAY()-J815,0)))</f>
        <v/>
      </c>
    </row>
    <row r="816">
      <c r="M816">
        <f>IF(J816="","",IF(K816&lt;&gt;"",MAX(0,K816-J816),IF(AND(L816&lt;&gt;"Delivered",TODAY()&gt;J816),TODAY()-J816,0)))</f>
        <v/>
      </c>
    </row>
    <row r="817">
      <c r="M817">
        <f>IF(J817="","",IF(K817&lt;&gt;"",MAX(0,K817-J817),IF(AND(L817&lt;&gt;"Delivered",TODAY()&gt;J817),TODAY()-J817,0)))</f>
        <v/>
      </c>
    </row>
    <row r="818">
      <c r="M818">
        <f>IF(J818="","",IF(K818&lt;&gt;"",MAX(0,K818-J818),IF(AND(L818&lt;&gt;"Delivered",TODAY()&gt;J818),TODAY()-J818,0)))</f>
        <v/>
      </c>
    </row>
    <row r="819">
      <c r="M819">
        <f>IF(J819="","",IF(K819&lt;&gt;"",MAX(0,K819-J819),IF(AND(L819&lt;&gt;"Delivered",TODAY()&gt;J819),TODAY()-J819,0)))</f>
        <v/>
      </c>
    </row>
    <row r="820">
      <c r="M820">
        <f>IF(J820="","",IF(K820&lt;&gt;"",MAX(0,K820-J820),IF(AND(L820&lt;&gt;"Delivered",TODAY()&gt;J820),TODAY()-J820,0)))</f>
        <v/>
      </c>
    </row>
    <row r="821">
      <c r="M821">
        <f>IF(J821="","",IF(K821&lt;&gt;"",MAX(0,K821-J821),IF(AND(L821&lt;&gt;"Delivered",TODAY()&gt;J821),TODAY()-J821,0)))</f>
        <v/>
      </c>
    </row>
    <row r="822">
      <c r="M822">
        <f>IF(J822="","",IF(K822&lt;&gt;"",MAX(0,K822-J822),IF(AND(L822&lt;&gt;"Delivered",TODAY()&gt;J822),TODAY()-J822,0)))</f>
        <v/>
      </c>
    </row>
    <row r="823">
      <c r="M823">
        <f>IF(J823="","",IF(K823&lt;&gt;"",MAX(0,K823-J823),IF(AND(L823&lt;&gt;"Delivered",TODAY()&gt;J823),TODAY()-J823,0)))</f>
        <v/>
      </c>
    </row>
    <row r="824">
      <c r="M824">
        <f>IF(J824="","",IF(K824&lt;&gt;"",MAX(0,K824-J824),IF(AND(L824&lt;&gt;"Delivered",TODAY()&gt;J824),TODAY()-J824,0)))</f>
        <v/>
      </c>
    </row>
    <row r="825">
      <c r="M825">
        <f>IF(J825="","",IF(K825&lt;&gt;"",MAX(0,K825-J825),IF(AND(L825&lt;&gt;"Delivered",TODAY()&gt;J825),TODAY()-J825,0)))</f>
        <v/>
      </c>
    </row>
    <row r="826">
      <c r="M826">
        <f>IF(J826="","",IF(K826&lt;&gt;"",MAX(0,K826-J826),IF(AND(L826&lt;&gt;"Delivered",TODAY()&gt;J826),TODAY()-J826,0)))</f>
        <v/>
      </c>
    </row>
    <row r="827">
      <c r="M827">
        <f>IF(J827="","",IF(K827&lt;&gt;"",MAX(0,K827-J827),IF(AND(L827&lt;&gt;"Delivered",TODAY()&gt;J827),TODAY()-J827,0)))</f>
        <v/>
      </c>
    </row>
    <row r="828">
      <c r="M828">
        <f>IF(J828="","",IF(K828&lt;&gt;"",MAX(0,K828-J828),IF(AND(L828&lt;&gt;"Delivered",TODAY()&gt;J828),TODAY()-J828,0)))</f>
        <v/>
      </c>
    </row>
    <row r="829">
      <c r="M829">
        <f>IF(J829="","",IF(K829&lt;&gt;"",MAX(0,K829-J829),IF(AND(L829&lt;&gt;"Delivered",TODAY()&gt;J829),TODAY()-J829,0)))</f>
        <v/>
      </c>
    </row>
    <row r="830">
      <c r="M830">
        <f>IF(J830="","",IF(K830&lt;&gt;"",MAX(0,K830-J830),IF(AND(L830&lt;&gt;"Delivered",TODAY()&gt;J830),TODAY()-J830,0)))</f>
        <v/>
      </c>
    </row>
    <row r="831">
      <c r="M831">
        <f>IF(J831="","",IF(K831&lt;&gt;"",MAX(0,K831-J831),IF(AND(L831&lt;&gt;"Delivered",TODAY()&gt;J831),TODAY()-J831,0)))</f>
        <v/>
      </c>
    </row>
    <row r="832">
      <c r="M832">
        <f>IF(J832="","",IF(K832&lt;&gt;"",MAX(0,K832-J832),IF(AND(L832&lt;&gt;"Delivered",TODAY()&gt;J832),TODAY()-J832,0)))</f>
        <v/>
      </c>
    </row>
    <row r="833">
      <c r="M833">
        <f>IF(J833="","",IF(K833&lt;&gt;"",MAX(0,K833-J833),IF(AND(L833&lt;&gt;"Delivered",TODAY()&gt;J833),TODAY()-J833,0)))</f>
        <v/>
      </c>
    </row>
    <row r="834">
      <c r="M834">
        <f>IF(J834="","",IF(K834&lt;&gt;"",MAX(0,K834-J834),IF(AND(L834&lt;&gt;"Delivered",TODAY()&gt;J834),TODAY()-J834,0)))</f>
        <v/>
      </c>
    </row>
    <row r="835">
      <c r="M835">
        <f>IF(J835="","",IF(K835&lt;&gt;"",MAX(0,K835-J835),IF(AND(L835&lt;&gt;"Delivered",TODAY()&gt;J835),TODAY()-J835,0)))</f>
        <v/>
      </c>
    </row>
    <row r="836">
      <c r="M836">
        <f>IF(J836="","",IF(K836&lt;&gt;"",MAX(0,K836-J836),IF(AND(L836&lt;&gt;"Delivered",TODAY()&gt;J836),TODAY()-J836,0)))</f>
        <v/>
      </c>
    </row>
    <row r="837">
      <c r="M837">
        <f>IF(J837="","",IF(K837&lt;&gt;"",MAX(0,K837-J837),IF(AND(L837&lt;&gt;"Delivered",TODAY()&gt;J837),TODAY()-J837,0)))</f>
        <v/>
      </c>
    </row>
    <row r="838">
      <c r="M838">
        <f>IF(J838="","",IF(K838&lt;&gt;"",MAX(0,K838-J838),IF(AND(L838&lt;&gt;"Delivered",TODAY()&gt;J838),TODAY()-J838,0)))</f>
        <v/>
      </c>
    </row>
    <row r="839">
      <c r="M839">
        <f>IF(J839="","",IF(K839&lt;&gt;"",MAX(0,K839-J839),IF(AND(L839&lt;&gt;"Delivered",TODAY()&gt;J839),TODAY()-J839,0)))</f>
        <v/>
      </c>
    </row>
    <row r="840">
      <c r="M840">
        <f>IF(J840="","",IF(K840&lt;&gt;"",MAX(0,K840-J840),IF(AND(L840&lt;&gt;"Delivered",TODAY()&gt;J840),TODAY()-J840,0)))</f>
        <v/>
      </c>
    </row>
    <row r="841">
      <c r="M841">
        <f>IF(J841="","",IF(K841&lt;&gt;"",MAX(0,K841-J841),IF(AND(L841&lt;&gt;"Delivered",TODAY()&gt;J841),TODAY()-J841,0)))</f>
        <v/>
      </c>
    </row>
    <row r="842">
      <c r="M842">
        <f>IF(J842="","",IF(K842&lt;&gt;"",MAX(0,K842-J842),IF(AND(L842&lt;&gt;"Delivered",TODAY()&gt;J842),TODAY()-J842,0)))</f>
        <v/>
      </c>
    </row>
    <row r="843">
      <c r="M843">
        <f>IF(J843="","",IF(K843&lt;&gt;"",MAX(0,K843-J843),IF(AND(L843&lt;&gt;"Delivered",TODAY()&gt;J843),TODAY()-J843,0)))</f>
        <v/>
      </c>
    </row>
    <row r="844">
      <c r="M844">
        <f>IF(J844="","",IF(K844&lt;&gt;"",MAX(0,K844-J844),IF(AND(L844&lt;&gt;"Delivered",TODAY()&gt;J844),TODAY()-J844,0)))</f>
        <v/>
      </c>
    </row>
    <row r="845">
      <c r="M845">
        <f>IF(J845="","",IF(K845&lt;&gt;"",MAX(0,K845-J845),IF(AND(L845&lt;&gt;"Delivered",TODAY()&gt;J845),TODAY()-J845,0)))</f>
        <v/>
      </c>
    </row>
    <row r="846">
      <c r="M846">
        <f>IF(J846="","",IF(K846&lt;&gt;"",MAX(0,K846-J846),IF(AND(L846&lt;&gt;"Delivered",TODAY()&gt;J846),TODAY()-J846,0)))</f>
        <v/>
      </c>
    </row>
    <row r="847">
      <c r="M847">
        <f>IF(J847="","",IF(K847&lt;&gt;"",MAX(0,K847-J847),IF(AND(L847&lt;&gt;"Delivered",TODAY()&gt;J847),TODAY()-J847,0)))</f>
        <v/>
      </c>
    </row>
    <row r="848">
      <c r="M848">
        <f>IF(J848="","",IF(K848&lt;&gt;"",MAX(0,K848-J848),IF(AND(L848&lt;&gt;"Delivered",TODAY()&gt;J848),TODAY()-J848,0)))</f>
        <v/>
      </c>
    </row>
    <row r="849">
      <c r="M849">
        <f>IF(J849="","",IF(K849&lt;&gt;"",MAX(0,K849-J849),IF(AND(L849&lt;&gt;"Delivered",TODAY()&gt;J849),TODAY()-J849,0)))</f>
        <v/>
      </c>
    </row>
    <row r="850">
      <c r="M850">
        <f>IF(J850="","",IF(K850&lt;&gt;"",MAX(0,K850-J850),IF(AND(L850&lt;&gt;"Delivered",TODAY()&gt;J850),TODAY()-J850,0)))</f>
        <v/>
      </c>
    </row>
    <row r="851">
      <c r="M851">
        <f>IF(J851="","",IF(K851&lt;&gt;"",MAX(0,K851-J851),IF(AND(L851&lt;&gt;"Delivered",TODAY()&gt;J851),TODAY()-J851,0)))</f>
        <v/>
      </c>
    </row>
    <row r="852">
      <c r="M852">
        <f>IF(J852="","",IF(K852&lt;&gt;"",MAX(0,K852-J852),IF(AND(L852&lt;&gt;"Delivered",TODAY()&gt;J852),TODAY()-J852,0)))</f>
        <v/>
      </c>
    </row>
    <row r="853">
      <c r="M853">
        <f>IF(J853="","",IF(K853&lt;&gt;"",MAX(0,K853-J853),IF(AND(L853&lt;&gt;"Delivered",TODAY()&gt;J853),TODAY()-J853,0)))</f>
        <v/>
      </c>
    </row>
    <row r="854">
      <c r="M854">
        <f>IF(J854="","",IF(K854&lt;&gt;"",MAX(0,K854-J854),IF(AND(L854&lt;&gt;"Delivered",TODAY()&gt;J854),TODAY()-J854,0)))</f>
        <v/>
      </c>
    </row>
    <row r="855">
      <c r="M855">
        <f>IF(J855="","",IF(K855&lt;&gt;"",MAX(0,K855-J855),IF(AND(L855&lt;&gt;"Delivered",TODAY()&gt;J855),TODAY()-J855,0)))</f>
        <v/>
      </c>
    </row>
    <row r="856">
      <c r="M856">
        <f>IF(J856="","",IF(K856&lt;&gt;"",MAX(0,K856-J856),IF(AND(L856&lt;&gt;"Delivered",TODAY()&gt;J856),TODAY()-J856,0)))</f>
        <v/>
      </c>
    </row>
    <row r="857">
      <c r="M857">
        <f>IF(J857="","",IF(K857&lt;&gt;"",MAX(0,K857-J857),IF(AND(L857&lt;&gt;"Delivered",TODAY()&gt;J857),TODAY()-J857,0)))</f>
        <v/>
      </c>
    </row>
    <row r="858">
      <c r="M858">
        <f>IF(J858="","",IF(K858&lt;&gt;"",MAX(0,K858-J858),IF(AND(L858&lt;&gt;"Delivered",TODAY()&gt;J858),TODAY()-J858,0)))</f>
        <v/>
      </c>
    </row>
    <row r="859">
      <c r="M859">
        <f>IF(J859="","",IF(K859&lt;&gt;"",MAX(0,K859-J859),IF(AND(L859&lt;&gt;"Delivered",TODAY()&gt;J859),TODAY()-J859,0)))</f>
        <v/>
      </c>
    </row>
    <row r="860">
      <c r="M860">
        <f>IF(J860="","",IF(K860&lt;&gt;"",MAX(0,K860-J860),IF(AND(L860&lt;&gt;"Delivered",TODAY()&gt;J860),TODAY()-J860,0)))</f>
        <v/>
      </c>
    </row>
    <row r="861">
      <c r="M861">
        <f>IF(J861="","",IF(K861&lt;&gt;"",MAX(0,K861-J861),IF(AND(L861&lt;&gt;"Delivered",TODAY()&gt;J861),TODAY()-J861,0)))</f>
        <v/>
      </c>
    </row>
    <row r="862">
      <c r="M862">
        <f>IF(J862="","",IF(K862&lt;&gt;"",MAX(0,K862-J862),IF(AND(L862&lt;&gt;"Delivered",TODAY()&gt;J862),TODAY()-J862,0)))</f>
        <v/>
      </c>
    </row>
    <row r="863">
      <c r="M863">
        <f>IF(J863="","",IF(K863&lt;&gt;"",MAX(0,K863-J863),IF(AND(L863&lt;&gt;"Delivered",TODAY()&gt;J863),TODAY()-J863,0)))</f>
        <v/>
      </c>
    </row>
    <row r="864">
      <c r="M864">
        <f>IF(J864="","",IF(K864&lt;&gt;"",MAX(0,K864-J864),IF(AND(L864&lt;&gt;"Delivered",TODAY()&gt;J864),TODAY()-J864,0)))</f>
        <v/>
      </c>
    </row>
    <row r="865">
      <c r="M865">
        <f>IF(J865="","",IF(K865&lt;&gt;"",MAX(0,K865-J865),IF(AND(L865&lt;&gt;"Delivered",TODAY()&gt;J865),TODAY()-J865,0)))</f>
        <v/>
      </c>
    </row>
    <row r="866">
      <c r="M866">
        <f>IF(J866="","",IF(K866&lt;&gt;"",MAX(0,K866-J866),IF(AND(L866&lt;&gt;"Delivered",TODAY()&gt;J866),TODAY()-J866,0)))</f>
        <v/>
      </c>
    </row>
    <row r="867">
      <c r="M867">
        <f>IF(J867="","",IF(K867&lt;&gt;"",MAX(0,K867-J867),IF(AND(L867&lt;&gt;"Delivered",TODAY()&gt;J867),TODAY()-J867,0)))</f>
        <v/>
      </c>
    </row>
    <row r="868">
      <c r="M868">
        <f>IF(J868="","",IF(K868&lt;&gt;"",MAX(0,K868-J868),IF(AND(L868&lt;&gt;"Delivered",TODAY()&gt;J868),TODAY()-J868,0)))</f>
        <v/>
      </c>
    </row>
    <row r="869">
      <c r="M869">
        <f>IF(J869="","",IF(K869&lt;&gt;"",MAX(0,K869-J869),IF(AND(L869&lt;&gt;"Delivered",TODAY()&gt;J869),TODAY()-J869,0)))</f>
        <v/>
      </c>
    </row>
    <row r="870">
      <c r="M870">
        <f>IF(J870="","",IF(K870&lt;&gt;"",MAX(0,K870-J870),IF(AND(L870&lt;&gt;"Delivered",TODAY()&gt;J870),TODAY()-J870,0)))</f>
        <v/>
      </c>
    </row>
    <row r="871">
      <c r="M871">
        <f>IF(J871="","",IF(K871&lt;&gt;"",MAX(0,K871-J871),IF(AND(L871&lt;&gt;"Delivered",TODAY()&gt;J871),TODAY()-J871,0)))</f>
        <v/>
      </c>
    </row>
    <row r="872">
      <c r="M872">
        <f>IF(J872="","",IF(K872&lt;&gt;"",MAX(0,K872-J872),IF(AND(L872&lt;&gt;"Delivered",TODAY()&gt;J872),TODAY()-J872,0)))</f>
        <v/>
      </c>
    </row>
    <row r="873">
      <c r="M873">
        <f>IF(J873="","",IF(K873&lt;&gt;"",MAX(0,K873-J873),IF(AND(L873&lt;&gt;"Delivered",TODAY()&gt;J873),TODAY()-J873,0)))</f>
        <v/>
      </c>
    </row>
    <row r="874">
      <c r="M874">
        <f>IF(J874="","",IF(K874&lt;&gt;"",MAX(0,K874-J874),IF(AND(L874&lt;&gt;"Delivered",TODAY()&gt;J874),TODAY()-J874,0)))</f>
        <v/>
      </c>
    </row>
    <row r="875">
      <c r="M875">
        <f>IF(J875="","",IF(K875&lt;&gt;"",MAX(0,K875-J875),IF(AND(L875&lt;&gt;"Delivered",TODAY()&gt;J875),TODAY()-J875,0)))</f>
        <v/>
      </c>
    </row>
    <row r="876">
      <c r="M876">
        <f>IF(J876="","",IF(K876&lt;&gt;"",MAX(0,K876-J876),IF(AND(L876&lt;&gt;"Delivered",TODAY()&gt;J876),TODAY()-J876,0)))</f>
        <v/>
      </c>
    </row>
    <row r="877">
      <c r="M877">
        <f>IF(J877="","",IF(K877&lt;&gt;"",MAX(0,K877-J877),IF(AND(L877&lt;&gt;"Delivered",TODAY()&gt;J877),TODAY()-J877,0)))</f>
        <v/>
      </c>
    </row>
    <row r="878">
      <c r="M878">
        <f>IF(J878="","",IF(K878&lt;&gt;"",MAX(0,K878-J878),IF(AND(L878&lt;&gt;"Delivered",TODAY()&gt;J878),TODAY()-J878,0)))</f>
        <v/>
      </c>
    </row>
    <row r="879">
      <c r="M879">
        <f>IF(J879="","",IF(K879&lt;&gt;"",MAX(0,K879-J879),IF(AND(L879&lt;&gt;"Delivered",TODAY()&gt;J879),TODAY()-J879,0)))</f>
        <v/>
      </c>
    </row>
    <row r="880">
      <c r="M880">
        <f>IF(J880="","",IF(K880&lt;&gt;"",MAX(0,K880-J880),IF(AND(L880&lt;&gt;"Delivered",TODAY()&gt;J880),TODAY()-J880,0)))</f>
        <v/>
      </c>
    </row>
    <row r="881">
      <c r="M881">
        <f>IF(J881="","",IF(K881&lt;&gt;"",MAX(0,K881-J881),IF(AND(L881&lt;&gt;"Delivered",TODAY()&gt;J881),TODAY()-J881,0)))</f>
        <v/>
      </c>
    </row>
    <row r="882">
      <c r="M882">
        <f>IF(J882="","",IF(K882&lt;&gt;"",MAX(0,K882-J882),IF(AND(L882&lt;&gt;"Delivered",TODAY()&gt;J882),TODAY()-J882,0)))</f>
        <v/>
      </c>
    </row>
    <row r="883">
      <c r="M883">
        <f>IF(J883="","",IF(K883&lt;&gt;"",MAX(0,K883-J883),IF(AND(L883&lt;&gt;"Delivered",TODAY()&gt;J883),TODAY()-J883,0)))</f>
        <v/>
      </c>
    </row>
    <row r="884">
      <c r="M884">
        <f>IF(J884="","",IF(K884&lt;&gt;"",MAX(0,K884-J884),IF(AND(L884&lt;&gt;"Delivered",TODAY()&gt;J884),TODAY()-J884,0)))</f>
        <v/>
      </c>
    </row>
    <row r="885">
      <c r="M885">
        <f>IF(J885="","",IF(K885&lt;&gt;"",MAX(0,K885-J885),IF(AND(L885&lt;&gt;"Delivered",TODAY()&gt;J885),TODAY()-J885,0)))</f>
        <v/>
      </c>
    </row>
    <row r="886">
      <c r="M886">
        <f>IF(J886="","",IF(K886&lt;&gt;"",MAX(0,K886-J886),IF(AND(L886&lt;&gt;"Delivered",TODAY()&gt;J886),TODAY()-J886,0)))</f>
        <v/>
      </c>
    </row>
    <row r="887">
      <c r="M887">
        <f>IF(J887="","",IF(K887&lt;&gt;"",MAX(0,K887-J887),IF(AND(L887&lt;&gt;"Delivered",TODAY()&gt;J887),TODAY()-J887,0)))</f>
        <v/>
      </c>
    </row>
    <row r="888">
      <c r="M888">
        <f>IF(J888="","",IF(K888&lt;&gt;"",MAX(0,K888-J888),IF(AND(L888&lt;&gt;"Delivered",TODAY()&gt;J888),TODAY()-J888,0)))</f>
        <v/>
      </c>
    </row>
    <row r="889">
      <c r="M889">
        <f>IF(J889="","",IF(K889&lt;&gt;"",MAX(0,K889-J889),IF(AND(L889&lt;&gt;"Delivered",TODAY()&gt;J889),TODAY()-J889,0)))</f>
        <v/>
      </c>
    </row>
    <row r="890">
      <c r="M890">
        <f>IF(J890="","",IF(K890&lt;&gt;"",MAX(0,K890-J890),IF(AND(L890&lt;&gt;"Delivered",TODAY()&gt;J890),TODAY()-J890,0)))</f>
        <v/>
      </c>
    </row>
    <row r="891">
      <c r="M891">
        <f>IF(J891="","",IF(K891&lt;&gt;"",MAX(0,K891-J891),IF(AND(L891&lt;&gt;"Delivered",TODAY()&gt;J891),TODAY()-J891,0)))</f>
        <v/>
      </c>
    </row>
    <row r="892">
      <c r="M892">
        <f>IF(J892="","",IF(K892&lt;&gt;"",MAX(0,K892-J892),IF(AND(L892&lt;&gt;"Delivered",TODAY()&gt;J892),TODAY()-J892,0)))</f>
        <v/>
      </c>
    </row>
    <row r="893">
      <c r="M893">
        <f>IF(J893="","",IF(K893&lt;&gt;"",MAX(0,K893-J893),IF(AND(L893&lt;&gt;"Delivered",TODAY()&gt;J893),TODAY()-J893,0)))</f>
        <v/>
      </c>
    </row>
    <row r="894">
      <c r="M894">
        <f>IF(J894="","",IF(K894&lt;&gt;"",MAX(0,K894-J894),IF(AND(L894&lt;&gt;"Delivered",TODAY()&gt;J894),TODAY()-J894,0)))</f>
        <v/>
      </c>
    </row>
    <row r="895">
      <c r="M895">
        <f>IF(J895="","",IF(K895&lt;&gt;"",MAX(0,K895-J895),IF(AND(L895&lt;&gt;"Delivered",TODAY()&gt;J895),TODAY()-J895,0)))</f>
        <v/>
      </c>
    </row>
    <row r="896">
      <c r="M896">
        <f>IF(J896="","",IF(K896&lt;&gt;"",MAX(0,K896-J896),IF(AND(L896&lt;&gt;"Delivered",TODAY()&gt;J896),TODAY()-J896,0)))</f>
        <v/>
      </c>
    </row>
    <row r="897">
      <c r="M897">
        <f>IF(J897="","",IF(K897&lt;&gt;"",MAX(0,K897-J897),IF(AND(L897&lt;&gt;"Delivered",TODAY()&gt;J897),TODAY()-J897,0)))</f>
        <v/>
      </c>
    </row>
    <row r="898">
      <c r="M898">
        <f>IF(J898="","",IF(K898&lt;&gt;"",MAX(0,K898-J898),IF(AND(L898&lt;&gt;"Delivered",TODAY()&gt;J898),TODAY()-J898,0)))</f>
        <v/>
      </c>
    </row>
    <row r="899">
      <c r="M899">
        <f>IF(J899="","",IF(K899&lt;&gt;"",MAX(0,K899-J899),IF(AND(L899&lt;&gt;"Delivered",TODAY()&gt;J899),TODAY()-J899,0)))</f>
        <v/>
      </c>
    </row>
    <row r="900">
      <c r="M900">
        <f>IF(J900="","",IF(K900&lt;&gt;"",MAX(0,K900-J900),IF(AND(L900&lt;&gt;"Delivered",TODAY()&gt;J900),TODAY()-J900,0)))</f>
        <v/>
      </c>
    </row>
    <row r="901">
      <c r="M901">
        <f>IF(J901="","",IF(K901&lt;&gt;"",MAX(0,K901-J901),IF(AND(L901&lt;&gt;"Delivered",TODAY()&gt;J901),TODAY()-J901,0)))</f>
        <v/>
      </c>
    </row>
    <row r="902">
      <c r="M902">
        <f>IF(J902="","",IF(K902&lt;&gt;"",MAX(0,K902-J902),IF(AND(L902&lt;&gt;"Delivered",TODAY()&gt;J902),TODAY()-J902,0)))</f>
        <v/>
      </c>
    </row>
    <row r="903">
      <c r="M903">
        <f>IF(J903="","",IF(K903&lt;&gt;"",MAX(0,K903-J903),IF(AND(L903&lt;&gt;"Delivered",TODAY()&gt;J903),TODAY()-J903,0)))</f>
        <v/>
      </c>
    </row>
    <row r="904">
      <c r="M904">
        <f>IF(J904="","",IF(K904&lt;&gt;"",MAX(0,K904-J904),IF(AND(L904&lt;&gt;"Delivered",TODAY()&gt;J904),TODAY()-J904,0)))</f>
        <v/>
      </c>
    </row>
    <row r="905">
      <c r="M905">
        <f>IF(J905="","",IF(K905&lt;&gt;"",MAX(0,K905-J905),IF(AND(L905&lt;&gt;"Delivered",TODAY()&gt;J905),TODAY()-J905,0)))</f>
        <v/>
      </c>
    </row>
    <row r="906">
      <c r="M906">
        <f>IF(J906="","",IF(K906&lt;&gt;"",MAX(0,K906-J906),IF(AND(L906&lt;&gt;"Delivered",TODAY()&gt;J906),TODAY()-J906,0)))</f>
        <v/>
      </c>
    </row>
    <row r="907">
      <c r="M907">
        <f>IF(J907="","",IF(K907&lt;&gt;"",MAX(0,K907-J907),IF(AND(L907&lt;&gt;"Delivered",TODAY()&gt;J907),TODAY()-J907,0)))</f>
        <v/>
      </c>
    </row>
    <row r="908">
      <c r="M908">
        <f>IF(J908="","",IF(K908&lt;&gt;"",MAX(0,K908-J908),IF(AND(L908&lt;&gt;"Delivered",TODAY()&gt;J908),TODAY()-J908,0)))</f>
        <v/>
      </c>
    </row>
    <row r="909">
      <c r="M909">
        <f>IF(J909="","",IF(K909&lt;&gt;"",MAX(0,K909-J909),IF(AND(L909&lt;&gt;"Delivered",TODAY()&gt;J909),TODAY()-J909,0)))</f>
        <v/>
      </c>
    </row>
    <row r="910">
      <c r="M910">
        <f>IF(J910="","",IF(K910&lt;&gt;"",MAX(0,K910-J910),IF(AND(L910&lt;&gt;"Delivered",TODAY()&gt;J910),TODAY()-J910,0)))</f>
        <v/>
      </c>
    </row>
    <row r="911">
      <c r="M911">
        <f>IF(J911="","",IF(K911&lt;&gt;"",MAX(0,K911-J911),IF(AND(L911&lt;&gt;"Delivered",TODAY()&gt;J911),TODAY()-J911,0)))</f>
        <v/>
      </c>
    </row>
    <row r="912">
      <c r="M912">
        <f>IF(J912="","",IF(K912&lt;&gt;"",MAX(0,K912-J912),IF(AND(L912&lt;&gt;"Delivered",TODAY()&gt;J912),TODAY()-J912,0)))</f>
        <v/>
      </c>
    </row>
    <row r="913">
      <c r="M913">
        <f>IF(J913="","",IF(K913&lt;&gt;"",MAX(0,K913-J913),IF(AND(L913&lt;&gt;"Delivered",TODAY()&gt;J913),TODAY()-J913,0)))</f>
        <v/>
      </c>
    </row>
    <row r="914">
      <c r="M914">
        <f>IF(J914="","",IF(K914&lt;&gt;"",MAX(0,K914-J914),IF(AND(L914&lt;&gt;"Delivered",TODAY()&gt;J914),TODAY()-J914,0)))</f>
        <v/>
      </c>
    </row>
    <row r="915">
      <c r="M915">
        <f>IF(J915="","",IF(K915&lt;&gt;"",MAX(0,K915-J915),IF(AND(L915&lt;&gt;"Delivered",TODAY()&gt;J915),TODAY()-J915,0)))</f>
        <v/>
      </c>
    </row>
    <row r="916">
      <c r="M916">
        <f>IF(J916="","",IF(K916&lt;&gt;"",MAX(0,K916-J916),IF(AND(L916&lt;&gt;"Delivered",TODAY()&gt;J916),TODAY()-J916,0)))</f>
        <v/>
      </c>
    </row>
    <row r="917">
      <c r="M917">
        <f>IF(J917="","",IF(K917&lt;&gt;"",MAX(0,K917-J917),IF(AND(L917&lt;&gt;"Delivered",TODAY()&gt;J917),TODAY()-J917,0)))</f>
        <v/>
      </c>
    </row>
    <row r="918">
      <c r="M918">
        <f>IF(J918="","",IF(K918&lt;&gt;"",MAX(0,K918-J918),IF(AND(L918&lt;&gt;"Delivered",TODAY()&gt;J918),TODAY()-J918,0)))</f>
        <v/>
      </c>
    </row>
    <row r="919">
      <c r="M919">
        <f>IF(J919="","",IF(K919&lt;&gt;"",MAX(0,K919-J919),IF(AND(L919&lt;&gt;"Delivered",TODAY()&gt;J919),TODAY()-J919,0)))</f>
        <v/>
      </c>
    </row>
    <row r="920">
      <c r="M920">
        <f>IF(J920="","",IF(K920&lt;&gt;"",MAX(0,K920-J920),IF(AND(L920&lt;&gt;"Delivered",TODAY()&gt;J920),TODAY()-J920,0)))</f>
        <v/>
      </c>
    </row>
    <row r="921">
      <c r="M921">
        <f>IF(J921="","",IF(K921&lt;&gt;"",MAX(0,K921-J921),IF(AND(L921&lt;&gt;"Delivered",TODAY()&gt;J921),TODAY()-J921,0)))</f>
        <v/>
      </c>
    </row>
    <row r="922">
      <c r="M922">
        <f>IF(J922="","",IF(K922&lt;&gt;"",MAX(0,K922-J922),IF(AND(L922&lt;&gt;"Delivered",TODAY()&gt;J922),TODAY()-J922,0)))</f>
        <v/>
      </c>
    </row>
    <row r="923">
      <c r="M923">
        <f>IF(J923="","",IF(K923&lt;&gt;"",MAX(0,K923-J923),IF(AND(L923&lt;&gt;"Delivered",TODAY()&gt;J923),TODAY()-J923,0)))</f>
        <v/>
      </c>
    </row>
    <row r="924">
      <c r="M924">
        <f>IF(J924="","",IF(K924&lt;&gt;"",MAX(0,K924-J924),IF(AND(L924&lt;&gt;"Delivered",TODAY()&gt;J924),TODAY()-J924,0)))</f>
        <v/>
      </c>
    </row>
    <row r="925">
      <c r="M925">
        <f>IF(J925="","",IF(K925&lt;&gt;"",MAX(0,K925-J925),IF(AND(L925&lt;&gt;"Delivered",TODAY()&gt;J925),TODAY()-J925,0)))</f>
        <v/>
      </c>
    </row>
    <row r="926">
      <c r="M926">
        <f>IF(J926="","",IF(K926&lt;&gt;"",MAX(0,K926-J926),IF(AND(L926&lt;&gt;"Delivered",TODAY()&gt;J926),TODAY()-J926,0)))</f>
        <v/>
      </c>
    </row>
    <row r="927">
      <c r="M927">
        <f>IF(J927="","",IF(K927&lt;&gt;"",MAX(0,K927-J927),IF(AND(L927&lt;&gt;"Delivered",TODAY()&gt;J927),TODAY()-J927,0)))</f>
        <v/>
      </c>
    </row>
    <row r="928">
      <c r="M928">
        <f>IF(J928="","",IF(K928&lt;&gt;"",MAX(0,K928-J928),IF(AND(L928&lt;&gt;"Delivered",TODAY()&gt;J928),TODAY()-J928,0)))</f>
        <v/>
      </c>
    </row>
    <row r="929">
      <c r="M929">
        <f>IF(J929="","",IF(K929&lt;&gt;"",MAX(0,K929-J929),IF(AND(L929&lt;&gt;"Delivered",TODAY()&gt;J929),TODAY()-J929,0)))</f>
        <v/>
      </c>
    </row>
    <row r="930">
      <c r="M930">
        <f>IF(J930="","",IF(K930&lt;&gt;"",MAX(0,K930-J930),IF(AND(L930&lt;&gt;"Delivered",TODAY()&gt;J930),TODAY()-J930,0)))</f>
        <v/>
      </c>
    </row>
    <row r="931">
      <c r="M931">
        <f>IF(J931="","",IF(K931&lt;&gt;"",MAX(0,K931-J931),IF(AND(L931&lt;&gt;"Delivered",TODAY()&gt;J931),TODAY()-J931,0)))</f>
        <v/>
      </c>
    </row>
    <row r="932">
      <c r="M932">
        <f>IF(J932="","",IF(K932&lt;&gt;"",MAX(0,K932-J932),IF(AND(L932&lt;&gt;"Delivered",TODAY()&gt;J932),TODAY()-J932,0)))</f>
        <v/>
      </c>
    </row>
    <row r="933">
      <c r="M933">
        <f>IF(J933="","",IF(K933&lt;&gt;"",MAX(0,K933-J933),IF(AND(L933&lt;&gt;"Delivered",TODAY()&gt;J933),TODAY()-J933,0)))</f>
        <v/>
      </c>
    </row>
    <row r="934">
      <c r="M934">
        <f>IF(J934="","",IF(K934&lt;&gt;"",MAX(0,K934-J934),IF(AND(L934&lt;&gt;"Delivered",TODAY()&gt;J934),TODAY()-J934,0)))</f>
        <v/>
      </c>
    </row>
    <row r="935">
      <c r="M935">
        <f>IF(J935="","",IF(K935&lt;&gt;"",MAX(0,K935-J935),IF(AND(L935&lt;&gt;"Delivered",TODAY()&gt;J935),TODAY()-J935,0)))</f>
        <v/>
      </c>
    </row>
    <row r="936">
      <c r="M936">
        <f>IF(J936="","",IF(K936&lt;&gt;"",MAX(0,K936-J936),IF(AND(L936&lt;&gt;"Delivered",TODAY()&gt;J936),TODAY()-J936,0)))</f>
        <v/>
      </c>
    </row>
    <row r="937">
      <c r="M937">
        <f>IF(J937="","",IF(K937&lt;&gt;"",MAX(0,K937-J937),IF(AND(L937&lt;&gt;"Delivered",TODAY()&gt;J937),TODAY()-J937,0)))</f>
        <v/>
      </c>
    </row>
    <row r="938">
      <c r="M938">
        <f>IF(J938="","",IF(K938&lt;&gt;"",MAX(0,K938-J938),IF(AND(L938&lt;&gt;"Delivered",TODAY()&gt;J938),TODAY()-J938,0)))</f>
        <v/>
      </c>
    </row>
    <row r="939">
      <c r="M939">
        <f>IF(J939="","",IF(K939&lt;&gt;"",MAX(0,K939-J939),IF(AND(L939&lt;&gt;"Delivered",TODAY()&gt;J939),TODAY()-J939,0)))</f>
        <v/>
      </c>
    </row>
    <row r="940">
      <c r="M940">
        <f>IF(J940="","",IF(K940&lt;&gt;"",MAX(0,K940-J940),IF(AND(L940&lt;&gt;"Delivered",TODAY()&gt;J940),TODAY()-J940,0)))</f>
        <v/>
      </c>
    </row>
    <row r="941">
      <c r="M941">
        <f>IF(J941="","",IF(K941&lt;&gt;"",MAX(0,K941-J941),IF(AND(L941&lt;&gt;"Delivered",TODAY()&gt;J941),TODAY()-J941,0)))</f>
        <v/>
      </c>
    </row>
    <row r="942">
      <c r="M942">
        <f>IF(J942="","",IF(K942&lt;&gt;"",MAX(0,K942-J942),IF(AND(L942&lt;&gt;"Delivered",TODAY()&gt;J942),TODAY()-J942,0)))</f>
        <v/>
      </c>
    </row>
    <row r="943">
      <c r="M943">
        <f>IF(J943="","",IF(K943&lt;&gt;"",MAX(0,K943-J943),IF(AND(L943&lt;&gt;"Delivered",TODAY()&gt;J943),TODAY()-J943,0)))</f>
        <v/>
      </c>
    </row>
    <row r="944">
      <c r="M944">
        <f>IF(J944="","",IF(K944&lt;&gt;"",MAX(0,K944-J944),IF(AND(L944&lt;&gt;"Delivered",TODAY()&gt;J944),TODAY()-J944,0)))</f>
        <v/>
      </c>
    </row>
    <row r="945">
      <c r="M945">
        <f>IF(J945="","",IF(K945&lt;&gt;"",MAX(0,K945-J945),IF(AND(L945&lt;&gt;"Delivered",TODAY()&gt;J945),TODAY()-J945,0)))</f>
        <v/>
      </c>
    </row>
    <row r="946">
      <c r="M946">
        <f>IF(J946="","",IF(K946&lt;&gt;"",MAX(0,K946-J946),IF(AND(L946&lt;&gt;"Delivered",TODAY()&gt;J946),TODAY()-J946,0)))</f>
        <v/>
      </c>
    </row>
    <row r="947">
      <c r="M947">
        <f>IF(J947="","",IF(K947&lt;&gt;"",MAX(0,K947-J947),IF(AND(L947&lt;&gt;"Delivered",TODAY()&gt;J947),TODAY()-J947,0)))</f>
        <v/>
      </c>
    </row>
    <row r="948">
      <c r="M948">
        <f>IF(J948="","",IF(K948&lt;&gt;"",MAX(0,K948-J948),IF(AND(L948&lt;&gt;"Delivered",TODAY()&gt;J948),TODAY()-J948,0)))</f>
        <v/>
      </c>
    </row>
    <row r="949">
      <c r="M949">
        <f>IF(J949="","",IF(K949&lt;&gt;"",MAX(0,K949-J949),IF(AND(L949&lt;&gt;"Delivered",TODAY()&gt;J949),TODAY()-J949,0)))</f>
        <v/>
      </c>
    </row>
    <row r="950">
      <c r="M950">
        <f>IF(J950="","",IF(K950&lt;&gt;"",MAX(0,K950-J950),IF(AND(L950&lt;&gt;"Delivered",TODAY()&gt;J950),TODAY()-J950,0)))</f>
        <v/>
      </c>
    </row>
    <row r="951">
      <c r="M951">
        <f>IF(J951="","",IF(K951&lt;&gt;"",MAX(0,K951-J951),IF(AND(L951&lt;&gt;"Delivered",TODAY()&gt;J951),TODAY()-J951,0)))</f>
        <v/>
      </c>
    </row>
    <row r="952">
      <c r="M952">
        <f>IF(J952="","",IF(K952&lt;&gt;"",MAX(0,K952-J952),IF(AND(L952&lt;&gt;"Delivered",TODAY()&gt;J952),TODAY()-J952,0)))</f>
        <v/>
      </c>
    </row>
    <row r="953">
      <c r="M953">
        <f>IF(J953="","",IF(K953&lt;&gt;"",MAX(0,K953-J953),IF(AND(L953&lt;&gt;"Delivered",TODAY()&gt;J953),TODAY()-J953,0)))</f>
        <v/>
      </c>
    </row>
    <row r="954">
      <c r="M954">
        <f>IF(J954="","",IF(K954&lt;&gt;"",MAX(0,K954-J954),IF(AND(L954&lt;&gt;"Delivered",TODAY()&gt;J954),TODAY()-J954,0)))</f>
        <v/>
      </c>
    </row>
    <row r="955">
      <c r="M955">
        <f>IF(J955="","",IF(K955&lt;&gt;"",MAX(0,K955-J955),IF(AND(L955&lt;&gt;"Delivered",TODAY()&gt;J955),TODAY()-J955,0)))</f>
        <v/>
      </c>
    </row>
    <row r="956">
      <c r="M956">
        <f>IF(J956="","",IF(K956&lt;&gt;"",MAX(0,K956-J956),IF(AND(L956&lt;&gt;"Delivered",TODAY()&gt;J956),TODAY()-J956,0)))</f>
        <v/>
      </c>
    </row>
    <row r="957">
      <c r="M957">
        <f>IF(J957="","",IF(K957&lt;&gt;"",MAX(0,K957-J957),IF(AND(L957&lt;&gt;"Delivered",TODAY()&gt;J957),TODAY()-J957,0)))</f>
        <v/>
      </c>
    </row>
    <row r="958">
      <c r="M958">
        <f>IF(J958="","",IF(K958&lt;&gt;"",MAX(0,K958-J958),IF(AND(L958&lt;&gt;"Delivered",TODAY()&gt;J958),TODAY()-J958,0)))</f>
        <v/>
      </c>
    </row>
    <row r="959">
      <c r="M959">
        <f>IF(J959="","",IF(K959&lt;&gt;"",MAX(0,K959-J959),IF(AND(L959&lt;&gt;"Delivered",TODAY()&gt;J959),TODAY()-J959,0)))</f>
        <v/>
      </c>
    </row>
    <row r="960">
      <c r="M960">
        <f>IF(J960="","",IF(K960&lt;&gt;"",MAX(0,K960-J960),IF(AND(L960&lt;&gt;"Delivered",TODAY()&gt;J960),TODAY()-J960,0)))</f>
        <v/>
      </c>
    </row>
    <row r="961">
      <c r="M961">
        <f>IF(J961="","",IF(K961&lt;&gt;"",MAX(0,K961-J961),IF(AND(L961&lt;&gt;"Delivered",TODAY()&gt;J961),TODAY()-J961,0)))</f>
        <v/>
      </c>
    </row>
    <row r="962">
      <c r="M962">
        <f>IF(J962="","",IF(K962&lt;&gt;"",MAX(0,K962-J962),IF(AND(L962&lt;&gt;"Delivered",TODAY()&gt;J962),TODAY()-J962,0)))</f>
        <v/>
      </c>
    </row>
    <row r="963">
      <c r="M963">
        <f>IF(J963="","",IF(K963&lt;&gt;"",MAX(0,K963-J963),IF(AND(L963&lt;&gt;"Delivered",TODAY()&gt;J963),TODAY()-J963,0)))</f>
        <v/>
      </c>
    </row>
    <row r="964">
      <c r="M964">
        <f>IF(J964="","",IF(K964&lt;&gt;"",MAX(0,K964-J964),IF(AND(L964&lt;&gt;"Delivered",TODAY()&gt;J964),TODAY()-J964,0)))</f>
        <v/>
      </c>
    </row>
    <row r="965">
      <c r="M965">
        <f>IF(J965="","",IF(K965&lt;&gt;"",MAX(0,K965-J965),IF(AND(L965&lt;&gt;"Delivered",TODAY()&gt;J965),TODAY()-J965,0)))</f>
        <v/>
      </c>
    </row>
    <row r="966">
      <c r="M966">
        <f>IF(J966="","",IF(K966&lt;&gt;"",MAX(0,K966-J966),IF(AND(L966&lt;&gt;"Delivered",TODAY()&gt;J966),TODAY()-J966,0)))</f>
        <v/>
      </c>
    </row>
    <row r="967">
      <c r="M967">
        <f>IF(J967="","",IF(K967&lt;&gt;"",MAX(0,K967-J967),IF(AND(L967&lt;&gt;"Delivered",TODAY()&gt;J967),TODAY()-J967,0)))</f>
        <v/>
      </c>
    </row>
    <row r="968">
      <c r="M968">
        <f>IF(J968="","",IF(K968&lt;&gt;"",MAX(0,K968-J968),IF(AND(L968&lt;&gt;"Delivered",TODAY()&gt;J968),TODAY()-J968,0)))</f>
        <v/>
      </c>
    </row>
    <row r="969">
      <c r="M969">
        <f>IF(J969="","",IF(K969&lt;&gt;"",MAX(0,K969-J969),IF(AND(L969&lt;&gt;"Delivered",TODAY()&gt;J969),TODAY()-J969,0)))</f>
        <v/>
      </c>
    </row>
    <row r="970">
      <c r="M970">
        <f>IF(J970="","",IF(K970&lt;&gt;"",MAX(0,K970-J970),IF(AND(L970&lt;&gt;"Delivered",TODAY()&gt;J970),TODAY()-J970,0)))</f>
        <v/>
      </c>
    </row>
    <row r="971">
      <c r="M971">
        <f>IF(J971="","",IF(K971&lt;&gt;"",MAX(0,K971-J971),IF(AND(L971&lt;&gt;"Delivered",TODAY()&gt;J971),TODAY()-J971,0)))</f>
        <v/>
      </c>
    </row>
    <row r="972">
      <c r="M972">
        <f>IF(J972="","",IF(K972&lt;&gt;"",MAX(0,K972-J972),IF(AND(L972&lt;&gt;"Delivered",TODAY()&gt;J972),TODAY()-J972,0)))</f>
        <v/>
      </c>
    </row>
    <row r="973">
      <c r="M973">
        <f>IF(J973="","",IF(K973&lt;&gt;"",MAX(0,K973-J973),IF(AND(L973&lt;&gt;"Delivered",TODAY()&gt;J973),TODAY()-J973,0)))</f>
        <v/>
      </c>
    </row>
    <row r="974">
      <c r="M974">
        <f>IF(J974="","",IF(K974&lt;&gt;"",MAX(0,K974-J974),IF(AND(L974&lt;&gt;"Delivered",TODAY()&gt;J974),TODAY()-J974,0)))</f>
        <v/>
      </c>
    </row>
    <row r="975">
      <c r="M975">
        <f>IF(J975="","",IF(K975&lt;&gt;"",MAX(0,K975-J975),IF(AND(L975&lt;&gt;"Delivered",TODAY()&gt;J975),TODAY()-J975,0)))</f>
        <v/>
      </c>
    </row>
    <row r="976">
      <c r="M976">
        <f>IF(J976="","",IF(K976&lt;&gt;"",MAX(0,K976-J976),IF(AND(L976&lt;&gt;"Delivered",TODAY()&gt;J976),TODAY()-J976,0)))</f>
        <v/>
      </c>
    </row>
    <row r="977">
      <c r="M977">
        <f>IF(J977="","",IF(K977&lt;&gt;"",MAX(0,K977-J977),IF(AND(L977&lt;&gt;"Delivered",TODAY()&gt;J977),TODAY()-J977,0)))</f>
        <v/>
      </c>
    </row>
    <row r="978">
      <c r="M978">
        <f>IF(J978="","",IF(K978&lt;&gt;"",MAX(0,K978-J978),IF(AND(L978&lt;&gt;"Delivered",TODAY()&gt;J978),TODAY()-J978,0)))</f>
        <v/>
      </c>
    </row>
    <row r="979">
      <c r="M979">
        <f>IF(J979="","",IF(K979&lt;&gt;"",MAX(0,K979-J979),IF(AND(L979&lt;&gt;"Delivered",TODAY()&gt;J979),TODAY()-J979,0)))</f>
        <v/>
      </c>
    </row>
    <row r="980">
      <c r="M980">
        <f>IF(J980="","",IF(K980&lt;&gt;"",MAX(0,K980-J980),IF(AND(L980&lt;&gt;"Delivered",TODAY()&gt;J980),TODAY()-J980,0)))</f>
        <v/>
      </c>
    </row>
    <row r="981">
      <c r="M981">
        <f>IF(J981="","",IF(K981&lt;&gt;"",MAX(0,K981-J981),IF(AND(L981&lt;&gt;"Delivered",TODAY()&gt;J981),TODAY()-J981,0)))</f>
        <v/>
      </c>
    </row>
    <row r="982">
      <c r="M982">
        <f>IF(J982="","",IF(K982&lt;&gt;"",MAX(0,K982-J982),IF(AND(L982&lt;&gt;"Delivered",TODAY()&gt;J982),TODAY()-J982,0)))</f>
        <v/>
      </c>
    </row>
    <row r="983">
      <c r="M983">
        <f>IF(J983="","",IF(K983&lt;&gt;"",MAX(0,K983-J983),IF(AND(L983&lt;&gt;"Delivered",TODAY()&gt;J983),TODAY()-J983,0)))</f>
        <v/>
      </c>
    </row>
    <row r="984">
      <c r="M984">
        <f>IF(J984="","",IF(K984&lt;&gt;"",MAX(0,K984-J984),IF(AND(L984&lt;&gt;"Delivered",TODAY()&gt;J984),TODAY()-J984,0)))</f>
        <v/>
      </c>
    </row>
    <row r="985">
      <c r="M985">
        <f>IF(J985="","",IF(K985&lt;&gt;"",MAX(0,K985-J985),IF(AND(L985&lt;&gt;"Delivered",TODAY()&gt;J985),TODAY()-J985,0)))</f>
        <v/>
      </c>
    </row>
    <row r="986">
      <c r="M986">
        <f>IF(J986="","",IF(K986&lt;&gt;"",MAX(0,K986-J986),IF(AND(L986&lt;&gt;"Delivered",TODAY()&gt;J986),TODAY()-J986,0)))</f>
        <v/>
      </c>
    </row>
    <row r="987">
      <c r="M987">
        <f>IF(J987="","",IF(K987&lt;&gt;"",MAX(0,K987-J987),IF(AND(L987&lt;&gt;"Delivered",TODAY()&gt;J987),TODAY()-J987,0)))</f>
        <v/>
      </c>
    </row>
    <row r="988">
      <c r="M988">
        <f>IF(J988="","",IF(K988&lt;&gt;"",MAX(0,K988-J988),IF(AND(L988&lt;&gt;"Delivered",TODAY()&gt;J988),TODAY()-J988,0)))</f>
        <v/>
      </c>
    </row>
    <row r="989">
      <c r="M989">
        <f>IF(J989="","",IF(K989&lt;&gt;"",MAX(0,K989-J989),IF(AND(L989&lt;&gt;"Delivered",TODAY()&gt;J989),TODAY()-J989,0)))</f>
        <v/>
      </c>
    </row>
    <row r="990">
      <c r="M990">
        <f>IF(J990="","",IF(K990&lt;&gt;"",MAX(0,K990-J990),IF(AND(L990&lt;&gt;"Delivered",TODAY()&gt;J990),TODAY()-J990,0)))</f>
        <v/>
      </c>
    </row>
    <row r="991">
      <c r="M991">
        <f>IF(J991="","",IF(K991&lt;&gt;"",MAX(0,K991-J991),IF(AND(L991&lt;&gt;"Delivered",TODAY()&gt;J991),TODAY()-J991,0)))</f>
        <v/>
      </c>
    </row>
    <row r="992">
      <c r="M992">
        <f>IF(J992="","",IF(K992&lt;&gt;"",MAX(0,K992-J992),IF(AND(L992&lt;&gt;"Delivered",TODAY()&gt;J992),TODAY()-J992,0)))</f>
        <v/>
      </c>
    </row>
    <row r="993">
      <c r="M993">
        <f>IF(J993="","",IF(K993&lt;&gt;"",MAX(0,K993-J993),IF(AND(L993&lt;&gt;"Delivered",TODAY()&gt;J993),TODAY()-J993,0)))</f>
        <v/>
      </c>
    </row>
    <row r="994">
      <c r="M994">
        <f>IF(J994="","",IF(K994&lt;&gt;"",MAX(0,K994-J994),IF(AND(L994&lt;&gt;"Delivered",TODAY()&gt;J994),TODAY()-J994,0)))</f>
        <v/>
      </c>
    </row>
    <row r="995">
      <c r="M995">
        <f>IF(J995="","",IF(K995&lt;&gt;"",MAX(0,K995-J995),IF(AND(L995&lt;&gt;"Delivered",TODAY()&gt;J995),TODAY()-J995,0)))</f>
        <v/>
      </c>
    </row>
    <row r="996">
      <c r="M996">
        <f>IF(J996="","",IF(K996&lt;&gt;"",MAX(0,K996-J996),IF(AND(L996&lt;&gt;"Delivered",TODAY()&gt;J996),TODAY()-J996,0)))</f>
        <v/>
      </c>
    </row>
    <row r="997">
      <c r="M997">
        <f>IF(J997="","",IF(K997&lt;&gt;"",MAX(0,K997-J997),IF(AND(L997&lt;&gt;"Delivered",TODAY()&gt;J997),TODAY()-J997,0)))</f>
        <v/>
      </c>
    </row>
    <row r="998">
      <c r="M998">
        <f>IF(J998="","",IF(K998&lt;&gt;"",MAX(0,K998-J998),IF(AND(L998&lt;&gt;"Delivered",TODAY()&gt;J998),TODAY()-J998,0)))</f>
        <v/>
      </c>
    </row>
    <row r="999">
      <c r="M999">
        <f>IF(J999="","",IF(K999&lt;&gt;"",MAX(0,K999-J999),IF(AND(L999&lt;&gt;"Delivered",TODAY()&gt;J999),TODAY()-J999,0)))</f>
        <v/>
      </c>
    </row>
    <row r="1000">
      <c r="M1000">
        <f>IF(J1000="","",IF(K1000&lt;&gt;"",MAX(0,K1000-J1000),IF(AND(L1000&lt;&gt;"Delivered",TODAY()&gt;J1000),TODAY()-J1000,0)))</f>
        <v/>
      </c>
    </row>
    <row r="1001">
      <c r="M1001">
        <f>IF(J1001="","",IF(K1001&lt;&gt;"",MAX(0,K1001-J1001),IF(AND(L1001&lt;&gt;"Delivered",TODAY()&gt;J1001),TODAY()-J1001,0)))</f>
        <v/>
      </c>
    </row>
    <row r="1002">
      <c r="M1002">
        <f>IF(J1002="","",IF(K1002&lt;&gt;"",MAX(0,K1002-J1002),IF(AND(L1002&lt;&gt;"Delivered",TODAY()&gt;J1002),TODAY()-J1002,0)))</f>
        <v/>
      </c>
    </row>
    <row r="1003">
      <c r="M1003">
        <f>IF(J1003="","",IF(K1003&lt;&gt;"",MAX(0,K1003-J1003),IF(AND(L1003&lt;&gt;"Delivered",TODAY()&gt;J1003),TODAY()-J1003,0)))</f>
        <v/>
      </c>
    </row>
  </sheetData>
  <autoFilter ref="A3:O7"/>
  <mergeCells count="1">
    <mergeCell ref="A1:O1"/>
  </mergeCells>
  <dataValidations count="1">
    <dataValidation sqref="L4:L1000" showDropDown="0" showInputMessage="0" showErrorMessage="0" allowBlank="1" type="list">
      <formula1>"Planned,Loading,In Transit,Delivered,Delayed"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5" t="inlineStr">
        <is>
          <t>TRANSPORT &amp; DELIVERY STOCK ALERT — KPI DASHBOARD</t>
        </is>
      </c>
    </row>
    <row r="3">
      <c r="A3" s="6" t="inlineStr">
        <is>
          <t>Total Deliveries</t>
        </is>
      </c>
      <c r="B3" s="7">
        <f>COUNTA('Alert Register'!A4:A1000)</f>
        <v/>
      </c>
    </row>
    <row r="4">
      <c r="A4" s="6" t="inlineStr">
        <is>
          <t>Planned</t>
        </is>
      </c>
      <c r="B4" s="7">
        <f>COUNTIF('Alert Register'!L4:L1000,"Planned")</f>
        <v/>
      </c>
    </row>
    <row r="5">
      <c r="A5" s="6" t="inlineStr">
        <is>
          <t>In Transit</t>
        </is>
      </c>
      <c r="B5" s="7">
        <f>COUNTIF('Alert Register'!L4:L1000,"In Transit")</f>
        <v/>
      </c>
    </row>
    <row r="6">
      <c r="A6" s="6" t="inlineStr">
        <is>
          <t>Delivered</t>
        </is>
      </c>
      <c r="B6" s="7">
        <f>COUNTIF('Alert Register'!L4:L1000,"Delivered")</f>
        <v/>
      </c>
    </row>
    <row r="7">
      <c r="A7" s="6" t="inlineStr">
        <is>
          <t>Delayed</t>
        </is>
      </c>
      <c r="B7" s="7">
        <f>COUNTIF('Alert Register'!L4:L1000,"Delayed")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2026-09-18T22:34:23Z</dcterms:created>
  <dcterms:modified xmlns:dcterms="http://purl.org/dc/terms/" xmlns:xsi="http://www.w3.org/2001/XMLSchema-instance" xsi:type="dcterms:W3CDTF">2026-09-18T22:34:23Z</dcterms:modified>
</cp:coreProperties>
</file>