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90" windowHeight="8550"/>
  </bookViews>
  <sheets>
    <sheet name="Dashboard" sheetId="1" r:id="rId1"/>
    <sheet name="Alerts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<sst xmlns="http://schemas.openxmlformats.org/spreadsheetml/2006/main" count="47" uniqueCount="43">
  <si>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PRODUCTION ALERTS DASHBOARD</t>
  </si>
  <si>
    <t>Status Summary</t>
  </si>
  <si>
    <t>Line Summary</t>
  </si>
  <si>
    <t>Status</t>
  </si>
  <si>
    <t>Count</t>
  </si>
  <si>
    <t>Production Line</t>
  </si>
  <si>
    <t>Real-time Supply Chain &amp; Production Alert Tracking Workflow</t>
  </si>
  <si>
    <t>New</t>
  </si>
  <si>
    <t>Line 1</t>
  </si>
  <si>
    <t>Waiting for Logistics</t>
  </si>
  <si>
    <t>Line 2</t>
  </si>
  <si>
    <t>Waiting for Procurement</t>
  </si>
  <si>
    <t>Line 3</t>
  </si>
  <si>
    <t>Alerts Dashboard</t>
  </si>
  <si>
    <t>Waiting for Transport</t>
  </si>
  <si>
    <t>Line 4</t>
  </si>
  <si>
    <t>TOTAL ALERTS</t>
  </si>
  <si>
    <t>WAITING LOGISTICS</t>
  </si>
  <si>
    <t>WAITING PROCUREMENT</t>
  </si>
  <si>
    <t>WAITING TRANSPORT</t>
  </si>
  <si>
    <t>In Progress</t>
  </si>
  <si>
    <t>Line 5</t>
  </si>
  <si>
    <t>Closed</t>
  </si>
  <si>
    <t>CLOSED</t>
  </si>
  <si>
    <t>OVERDUE</t>
  </si>
  <si>
    <t>Overdue</t>
  </si>
  <si>
    <t>Alert No.</t>
  </si>
  <si>
    <t>Part Number</t>
  </si>
  <si>
    <t>Alert Date</t>
  </si>
  <si>
    <t>Description</t>
  </si>
  <si>
    <t>Required Quantity</t>
  </si>
  <si>
    <t>Available Stock</t>
  </si>
  <si>
    <t>Logistics Feedback</t>
  </si>
  <si>
    <t>Root cause</t>
  </si>
  <si>
    <t>Action Required By</t>
  </si>
  <si>
    <t>Procurement Feedback</t>
  </si>
  <si>
    <t>Transport Feedback</t>
  </si>
  <si>
    <t>Close Date</t>
  </si>
  <si>
    <t>Production Comments</t>
  </si>
  <si>
    <t>ALT-001</t>
  </si>
  <si>
    <t>GR129862</t>
  </si>
  <si>
    <t>GROMMET 78828914</t>
  </si>
  <si>
    <t>Missing Part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</si>
</sst>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39">
    <font>
      <sz val="11"/>
      <color theme="1"/>
      <name val="Calibri"/>
      <charset val="134"/>
      <scheme val="minor"/>
    </font>
    <font>
      <b/>
      <sz val="11"/>
      <color rgb="FF4A2E35"/>
      <name val="Segoe UI"/>
      <charset val="134"/>
    </font>
    <font>
      <sz val="10"/>
      <name val="Segoe UI"/>
      <charset val="134"/>
    </font>
    <font>
      <b/>
      <sz val="16"/>
      <color theme="0"/>
      <name val="Segoe UI"/>
      <charset val="134"/>
    </font>
    <font>
      <sz val="11"/>
      <color theme="4" tint="0.8"/>
      <name val="Calibri"/>
      <charset val="134"/>
      <scheme val="minor"/>
    </font>
    <font>
      <i/>
      <sz val="10"/>
      <color rgb="FF666666"/>
      <name val="Segoe UI"/>
      <charset val="134"/>
    </font>
    <font>
      <sz val="18"/>
      <color theme="0"/>
      <name val="Cambria"/>
      <charset val="134"/>
      <scheme val="major"/>
    </font>
    <font>
      <sz val="11"/>
      <color theme="0"/>
      <name val="Calibri"/>
      <charset val="134"/>
      <scheme val="minor"/>
    </font>
    <font>
      <b/>
      <sz val="9"/>
      <color theme="0"/>
      <name val="Segoe UI"/>
      <charset val="134"/>
    </font>
    <font>
      <b/>
      <sz val="20"/>
      <color rgb="FFFF0000"/>
      <name val="Segoe UI"/>
      <charset val="134"/>
    </font>
    <font>
      <sz val="11"/>
      <color rgb="FFFF0000"/>
      <name val="Calibri"/>
      <charset val="134"/>
      <scheme val="minor"/>
    </font>
    <font>
      <b/>
      <sz val="20"/>
      <color theme="6"/>
      <name val="Segoe UI"/>
      <charset val="134"/>
    </font>
    <font>
      <sz val="11"/>
      <color theme="6"/>
      <name val="Calibri"/>
      <charset val="134"/>
      <scheme val="minor"/>
    </font>
    <font>
      <b/>
      <sz val="20"/>
      <color theme="9"/>
      <name val="Segoe UI"/>
      <charset val="134"/>
    </font>
    <font>
      <sz val="11"/>
      <color theme="9"/>
      <name val="Calibri"/>
      <charset val="134"/>
      <scheme val="minor"/>
    </font>
    <font>
      <b/>
      <sz val="20"/>
      <color theme="4"/>
      <name val="Segoe UI"/>
      <charset val="134"/>
    </font>
    <font>
      <b/>
      <sz val="20"/>
      <color theme="8"/>
      <name val="Segoe UI"/>
      <charset val="134"/>
    </font>
    <font>
      <sz val="11"/>
      <color theme="8"/>
      <name val="Calibri"/>
      <charset val="134"/>
      <scheme val="minor"/>
    </font>
    <font>
      <b/>
      <sz val="10"/>
      <name val="Segoe UI"/>
      <charset val="134"/>
    </font>
    <font>
      <sz val="11"/>
      <color theme="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8"/>
        <bgColor rgb="FFD8A7B1"/>
      </patternFill>
    </fill>
    <fill>
      <patternFill patternType="solid">
        <fgColor theme="6"/>
        <bgColor rgb="FF8E5B6A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AF0F2"/>
      </patternFill>
    </fill>
    <fill>
      <patternFill patternType="solid">
        <fgColor theme="6"/>
        <bgColor rgb="FFFAF0F2"/>
      </patternFill>
    </fill>
    <fill>
      <patternFill patternType="solid">
        <fgColor theme="9"/>
        <bgColor rgb="FFFAF0F2"/>
      </patternFill>
    </fill>
    <fill>
      <patternFill patternType="solid">
        <fgColor theme="4"/>
        <bgColor rgb="FFFAF0F2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5" applyNumberFormat="0" applyAlignment="0" applyProtection="0">
      <alignment vertical="center"/>
    </xf>
    <xf numFmtId="0" fontId="29" fillId="14" borderId="6" applyNumberFormat="0" applyAlignment="0" applyProtection="0">
      <alignment vertical="center"/>
    </xf>
    <xf numFmtId="0" fontId="30" fillId="14" borderId="5" applyNumberFormat="0" applyAlignment="0" applyProtection="0">
      <alignment vertical="center"/>
    </xf>
    <xf numFmtId="0" fontId="31" fillId="15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3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58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/>
    <xf numFmtId="0" fontId="5" fillId="0" borderId="0" xfId="0" applyFont="1"/>
    <xf numFmtId="0" fontId="6" fillId="6" borderId="1" xfId="0" applyFont="1" applyFill="1" applyBorder="1" applyAlignment="1">
      <alignment horizontal="left" indent="1"/>
    </xf>
    <xf numFmtId="0" fontId="7" fillId="6" borderId="0" xfId="0" applyFont="1" applyFill="1"/>
    <xf numFmtId="0" fontId="8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8" fillId="8" borderId="1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8" fillId="9" borderId="1" xfId="0" applyFont="1" applyFill="1" applyBorder="1" applyAlignment="1">
      <alignment horizontal="center" vertical="center"/>
    </xf>
    <xf numFmtId="0" fontId="7" fillId="9" borderId="1" xfId="0" applyFont="1" applyFill="1" applyBorder="1"/>
    <xf numFmtId="0" fontId="8" fillId="1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/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/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/>
    <xf numFmtId="0" fontId="15" fillId="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7" fillId="11" borderId="1" xfId="0" applyFont="1" applyFill="1" applyBorder="1"/>
    <xf numFmtId="0" fontId="8" fillId="5" borderId="1" xfId="0" applyFont="1" applyFill="1" applyBorder="1" applyAlignment="1">
      <alignment horizontal="center" vertical="center"/>
    </xf>
    <xf numFmtId="0" fontId="7" fillId="5" borderId="1" xfId="0" applyFont="1" applyFill="1" applyBorder="1"/>
    <xf numFmtId="0" fontId="8" fillId="6" borderId="1" xfId="0" applyFont="1" applyFill="1" applyBorder="1" applyAlignment="1">
      <alignment horizontal="center" vertical="center"/>
    </xf>
    <xf numFmtId="0" fontId="7" fillId="6" borderId="1" xfId="0" applyFont="1" applyFill="1" applyBorder="1"/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/>
    <xf numFmtId="0" fontId="18" fillId="0" borderId="0" xfId="0" applyFont="1"/>
    <xf numFmtId="0" fontId="7" fillId="10" borderId="1" xfId="0" applyFont="1" applyFill="1" applyBorder="1"/>
    <xf numFmtId="0" fontId="19" fillId="0" borderId="1" xfId="0" applyFont="1" applyFill="1" applyBorder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29">
    <dxf>
      <alignment vertical="center"/>
      <border>
        <diagonal/>
      </border>
    </dxf>
    <dxf>
      <alignment vertical="center"/>
      <border>
        <diagonal/>
      </border>
    </dxf>
    <dxf>
      <alignment vertical="center"/>
      <border>
        <diagonal/>
      </border>
    </dxf>
    <dxf>
      <alignment vertical="center"/>
      <border>
        <diagonal/>
      </border>
    </dxf>
    <dxf>
      <alignment vertical="center"/>
      <border>
        <diagonal/>
      </border>
    </dxf>
    <dxf>
      <alignment vertical="center"/>
      <border>
        <diagonal/>
      </border>
    </dxf>
    <dxf>
      <alignment vertical="center"/>
      <border>
        <diagonal/>
      </border>
    </dxf>
    <dxf>
      <alignment vertical="center"/>
      <border>
        <diagonal/>
      </border>
    </dxf>
    <dxf>
      <alignment vertical="center"/>
      <border>
        <diagonal/>
      </border>
    </dxf>
    <dxf>
      <alignment vertical="center"/>
      <border>
        <diagonal/>
      </border>
    </dxf>
    <dxf>
      <alignment vertical="center"/>
      <border>
        <diagonal/>
      </border>
    </dxf>
    <dxf>
      <alignment vertical="center"/>
      <border>
        <diagonal/>
      </border>
    </dxf>
    <dxf>
      <alignment vertical="center"/>
      <border>
        <diagonal/>
      </border>
    </dxf>
    <dxf>
      <alignment vertical="center"/>
      <border>
        <diagonal/>
      </border>
    </dxf>
    <dxf>
      <alignment vertical="center"/>
      <border>
        <diagonal/>
      </border>
    </dxf>
    <dxf>
      <fill>
        <patternFill patternType="solid">
          <fgColor rgb="FFD0E1F9"/>
          <bgColor rgb="FFD0E1F9"/>
        </patternFill>
      </fill>
    </dxf>
    <dxf>
      <fill>
        <patternFill patternType="solid">
          <fgColor rgb="FFE1D5E7"/>
          <bgColor rgb="FFE1D5E7"/>
        </patternFill>
      </fill>
    </dxf>
    <dxf>
      <fill>
        <patternFill patternType="solid">
          <fgColor rgb="FFFFE6CC"/>
          <bgColor rgb="FFFFE6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AE8FC"/>
          <bgColor rgb="FFDAE8FC"/>
        </patternFill>
      </fill>
    </dxf>
    <dxf>
      <fill>
        <patternFill patternType="solid">
          <fgColor rgb="FFD5E8D4"/>
          <bgColor rgb="FFD5E8D4"/>
        </patternFill>
      </fill>
    </dxf>
    <dxf>
      <fill>
        <patternFill patternType="solid">
          <fgColor rgb="FFF8CECC"/>
          <bgColor rgb="FFF8CECC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8"/>
        </top>
      </border>
    </dxf>
    <dxf>
      <font>
        <b val="1"/>
        <color theme="1"/>
      </font>
      <border>
        <bottom style="medium">
          <color theme="8"/>
        </bottom>
      </border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 tint="0.399975585192419"/>
        </vertical>
        <horizontal style="thin">
          <color theme="8" tint="0.399975585192419"/>
        </horizontal>
      </border>
    </dxf>
  </dxfs>
  <tableStyles count="1" defaultTableStyle="TableStyleMedium9" defaultPivotStyle="PivotStyleLight16">
    <tableStyle name="TableStylePreset2_Accent5" pivot="0" count="7" xr9:uid="{D1346F1B-7C2F-4622-90BD-94F7AD5DAE75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79421221864952"/>
          <c:y val="0.279978148046982"/>
          <c:w val="0.906236842105263"/>
          <c:h val="0.6056481481481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Dashboard!$B$8:$I$8</c:f>
              <c:numCache>
                <c:formatCode>General</c:formatCode>
                <c:ptCount val="8"/>
                <c:pt idx="0">
                  <c:v>1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Dashboard!$B$9:$I$9</c:f>
              <c:numCache>
                <c:formatCode>General</c:formatCode>
                <c:ptCount val="8"/>
                <c:pt idx="0">
                  <c:v>0</c:v>
                </c:pt>
                <c:pt idx="2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fr-FR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Dashboard!$B$10:$I$10</c:f>
              <c:numCache>
                <c:formatCode>General</c:formatCode>
                <c:ptCount val="8"/>
                <c:pt idx="0">
                  <c:v>0</c:v>
                </c:pt>
                <c:pt idx="2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933410632"/>
        <c:axId val="367654312"/>
      </c:barChart>
      <c:catAx>
        <c:axId val="933410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7654312"/>
        <c:crosses val="autoZero"/>
        <c:auto val="1"/>
        <c:lblAlgn val="ctr"/>
        <c:lblOffset val="100"/>
        <c:noMultiLvlLbl val="0"/>
      </c:catAx>
      <c:valAx>
        <c:axId val="367654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fr-F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410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fr-F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1b44964-06ac-48b2-9f89-eb455484bb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fr-F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204470</xdr:colOff>
      <xdr:row>12</xdr:row>
      <xdr:rowOff>38735</xdr:rowOff>
    </xdr:from>
    <xdr:to>
      <xdr:col>9</xdr:col>
      <xdr:colOff>12700</xdr:colOff>
      <xdr:row>22</xdr:row>
      <xdr:rowOff>7620</xdr:rowOff>
    </xdr:to>
    <xdr:graphicFrame>
      <xdr:nvGraphicFramePr>
        <xdr:cNvPr id="11" name="Graphique 10"/>
        <xdr:cNvGraphicFramePr/>
      </xdr:nvGraphicFramePr>
      <xdr:xfrm>
        <a:off x="204470" y="2756535"/>
        <a:ext cx="8958580" cy="1810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lertsTable" displayName="AlertsTable" ref="A1:O62">
  <autoFilter xmlns:etc="http://www.wps.cn/officeDocument/2017/etCustomData" ref="A1:O62" etc:filterBottomFollowUsedRange="0"/>
  <tableColumns count="15">
    <tableColumn id="1" name="Alert No." dataDxfId="0"/>
    <tableColumn id="2" name="Part Number" dataDxfId="1"/>
    <tableColumn id="4" name="Alert Date" dataDxfId="2"/>
    <tableColumn id="5" name="Description" dataDxfId="3"/>
    <tableColumn id="6" name="Required Quantity" dataDxfId="4"/>
    <tableColumn id="7" name="Production Line" dataDxfId="5"/>
    <tableColumn id="8" name="Status" dataDxfId="6"/>
    <tableColumn id="9" name="Available Stock" dataDxfId="7"/>
    <tableColumn id="10" name="Logistics Feedback" dataDxfId="8"/>
    <tableColumn id="11" name="Root cause" dataDxfId="9"/>
    <tableColumn id="12" name="Action Required By" dataDxfId="10"/>
    <tableColumn id="13" name="Procurement Feedback" dataDxfId="11"/>
    <tableColumn id="14" name="Transport Feedback" dataDxfId="12"/>
    <tableColumn id="15" name="Close Date" dataDxfId="13"/>
    <tableColumn id="16" name="Production Comments" dataDxfId="14"/>
  </tableColumns>
  <tableStyleInfo name="TableStylePreset2_Accen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topLeftCell="A4" workbookViewId="0">
      <selection activeCell="K6" sqref="K6"/>
    </sheetView>
  </sheetViews>
  <sheetFormatPr defaultColWidth="9" defaultRowHeight="14.5"/>
  <cols>
    <col min="1" max="1" width="3" customWidth="1"/>
    <col min="2" max="9" width="16" customWidth="1"/>
    <col min="10" max="11" width="12" customWidth="1"/>
    <col min="12" max="12" width="27" hidden="1" customWidth="1"/>
    <col min="13" max="14" width="12" hidden="1" customWidth="1"/>
    <col min="15" max="15" width="19" hidden="1" customWidth="1"/>
    <col min="16" max="16" width="12" hidden="1" customWidth="1"/>
  </cols>
  <sheetData>
    <row r="1" ht="16" spans="1:15">
      <c r="A1" s="10" t="s">
        <v>0</v>
      </c>
      <c r="B1" s="11"/>
      <c r="C1" s="11"/>
      <c r="D1" s="11"/>
      <c r="E1" s="11"/>
      <c r="F1" s="11"/>
      <c r="G1" s="11"/>
      <c r="H1" s="11"/>
      <c r="I1" s="11"/>
      <c r="L1" s="37" t="s">
        <v>1</v>
      </c>
      <c r="O1" s="37" t="s">
        <v>2</v>
      </c>
    </row>
    <row r="2" spans="1:16">
      <c r="A2" s="11"/>
      <c r="B2" s="11"/>
      <c r="C2" s="11"/>
      <c r="D2" s="11"/>
      <c r="E2" s="11"/>
      <c r="F2" s="11"/>
      <c r="G2" s="11"/>
      <c r="H2" s="11"/>
      <c r="I2" s="11"/>
      <c r="L2" t="s">
        <v>3</v>
      </c>
      <c r="M2" t="s">
        <v>4</v>
      </c>
      <c r="O2" t="s">
        <v>5</v>
      </c>
      <c r="P2" t="s">
        <v>4</v>
      </c>
    </row>
    <row r="3" ht="16" spans="1:16">
      <c r="A3" s="12" t="s">
        <v>6</v>
      </c>
      <c r="L3" t="s">
        <v>7</v>
      </c>
      <c r="M3">
        <f>COUNTIF('Alerts Data'!G$2:G$1000,L3)</f>
        <v>0</v>
      </c>
      <c r="O3" t="s">
        <v>8</v>
      </c>
      <c r="P3">
        <f>COUNTIF('Alerts Data'!F$2:F$1000,O3)</f>
        <v>0</v>
      </c>
    </row>
    <row r="4" spans="12:16">
      <c r="L4" t="s">
        <v>9</v>
      </c>
      <c r="M4">
        <f>COUNTIF('Alerts Data'!G$2:G$1000,L4)</f>
        <v>0</v>
      </c>
      <c r="O4" t="s">
        <v>10</v>
      </c>
      <c r="P4">
        <f>COUNTIF('Alerts Data'!F$2:F$1000,O4)</f>
        <v>0</v>
      </c>
    </row>
    <row r="5" spans="12:16">
      <c r="L5" t="s">
        <v>11</v>
      </c>
      <c r="M5">
        <f>COUNTIF('Alerts Data'!G$2:G$1000,L5)</f>
        <v>0</v>
      </c>
      <c r="O5" t="s">
        <v>12</v>
      </c>
      <c r="P5">
        <f>COUNTIF('Alerts Data'!F$2:F$1000,O5)</f>
        <v>0</v>
      </c>
    </row>
    <row r="6" ht="22.5" spans="5:16">
      <c r="E6" s="13" t="s">
        <v>13</v>
      </c>
      <c r="F6" s="14"/>
      <c r="L6" t="s">
        <v>14</v>
      </c>
      <c r="M6">
        <f>COUNTIF('Alerts Data'!G$2:G$1000,L6)</f>
        <v>0</v>
      </c>
      <c r="O6" t="s">
        <v>15</v>
      </c>
      <c r="P6">
        <f>COUNTIF('Alerts Data'!F$2:F$1000,O6)</f>
        <v>0</v>
      </c>
    </row>
    <row r="7" spans="2:16">
      <c r="B7" s="15" t="s">
        <v>16</v>
      </c>
      <c r="C7" s="16"/>
      <c r="D7" s="17" t="s">
        <v>17</v>
      </c>
      <c r="E7" s="18"/>
      <c r="F7" s="19" t="s">
        <v>18</v>
      </c>
      <c r="G7" s="20"/>
      <c r="H7" s="21" t="s">
        <v>19</v>
      </c>
      <c r="I7" s="38"/>
      <c r="L7" t="s">
        <v>20</v>
      </c>
      <c r="M7">
        <f>COUNTIF('Alerts Data'!G$2:G$1000,L7)</f>
        <v>0</v>
      </c>
      <c r="O7" t="s">
        <v>21</v>
      </c>
      <c r="P7">
        <f>COUNTIF('Alerts Data'!F$2:F$1000,O7)</f>
        <v>0</v>
      </c>
    </row>
    <row r="8" ht="29" spans="2:13">
      <c r="B8" s="22">
        <f>COUNTA('Alerts Data'!A2:A1000)</f>
        <v>1</v>
      </c>
      <c r="C8" s="23"/>
      <c r="D8" s="24">
        <f>COUNTIF('Alerts Data'!G2:G1000,"Waiting for Logistics")</f>
        <v>0</v>
      </c>
      <c r="E8" s="25"/>
      <c r="F8" s="26">
        <f>COUNTIF('Alerts Data'!G2:G1000,"Waiting for Procurement")</f>
        <v>0</v>
      </c>
      <c r="G8" s="27"/>
      <c r="H8" s="28">
        <f>COUNTIF('Alerts Data'!G2:G1000,"Waiting for Transport")</f>
        <v>0</v>
      </c>
      <c r="I8" s="39"/>
      <c r="L8" t="s">
        <v>22</v>
      </c>
      <c r="M8">
        <f>COUNTIF('Alerts Data'!G$2:G$1000,L8)</f>
        <v>0</v>
      </c>
    </row>
    <row r="9" spans="2:13">
      <c r="B9" s="29" t="s">
        <v>20</v>
      </c>
      <c r="C9" s="30"/>
      <c r="D9" s="31" t="s">
        <v>23</v>
      </c>
      <c r="E9" s="32"/>
      <c r="F9" s="33" t="s">
        <v>24</v>
      </c>
      <c r="G9" s="34"/>
      <c r="L9" t="s">
        <v>25</v>
      </c>
      <c r="M9">
        <f>COUNTIF('Alerts Data'!G$2:G$1000,L9)</f>
        <v>0</v>
      </c>
    </row>
    <row r="10" ht="29" spans="2:7">
      <c r="B10" s="35">
        <f>COUNTIF('Alerts Data'!G2:G1000,"In Progress")</f>
        <v>0</v>
      </c>
      <c r="C10" s="36"/>
      <c r="D10" s="24">
        <f>COUNTIF('Alerts Data'!G2:G1000,"Closed")</f>
        <v>0</v>
      </c>
      <c r="E10" s="25"/>
      <c r="F10" s="22">
        <f>COUNTIF('Alerts Data'!G2:G1000,"Overdue")</f>
        <v>0</v>
      </c>
      <c r="G10" s="23"/>
    </row>
  </sheetData>
  <mergeCells count="15"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B10:C10"/>
    <mergeCell ref="D10:E10"/>
    <mergeCell ref="F10:G10"/>
    <mergeCell ref="A1:I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C62"/>
  <sheetViews>
    <sheetView topLeftCell="F1" workbookViewId="0">
      <selection activeCell="N4" sqref="N4"/>
    </sheetView>
  </sheetViews>
  <sheetFormatPr defaultColWidth="9" defaultRowHeight="14.5"/>
  <cols>
    <col min="1" max="1" width="16" style="2" customWidth="1"/>
    <col min="2" max="2" width="12" style="2" customWidth="1"/>
    <col min="3" max="3" width="14" style="2" customWidth="1"/>
    <col min="4" max="4" width="29.9090909090909" style="2" customWidth="1"/>
    <col min="5" max="5" width="21" style="2" customWidth="1"/>
    <col min="6" max="6" width="19" style="2" customWidth="1"/>
    <col min="7" max="7" width="27" style="2" customWidth="1"/>
    <col min="8" max="8" width="19" style="2" customWidth="1"/>
    <col min="9" max="9" width="33" style="2" customWidth="1"/>
    <col min="10" max="10" width="30" style="2" customWidth="1"/>
    <col min="11" max="11" width="33" style="2" customWidth="1"/>
    <col min="12" max="12" width="14" style="2" customWidth="1"/>
    <col min="13" max="13" width="31" style="2" customWidth="1"/>
    <col min="14" max="14" width="15.4545454545455" style="2" customWidth="1"/>
    <col min="15" max="15" width="62.2727272727273" style="2" customWidth="1"/>
    <col min="16" max="16384" width="9" style="2"/>
  </cols>
  <sheetData>
    <row r="1" s="1" customFormat="1" ht="33" spans="1:133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5</v>
      </c>
      <c r="G1" s="3" t="s">
        <v>3</v>
      </c>
      <c r="H1" s="3" t="s">
        <v>31</v>
      </c>
      <c r="I1" s="3" t="s">
        <v>32</v>
      </c>
      <c r="J1" s="1" t="s">
        <v>33</v>
      </c>
      <c r="K1" s="1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</row>
    <row r="2" ht="16" spans="1:15">
      <c r="A2" s="4" t="s">
        <v>39</v>
      </c>
      <c r="B2" s="5" t="s">
        <v>40</v>
      </c>
      <c r="C2" s="6">
        <v>46183</v>
      </c>
      <c r="D2" s="5" t="s">
        <v>41</v>
      </c>
      <c r="E2" s="7">
        <v>9</v>
      </c>
      <c r="F2" s="4"/>
      <c r="G2" s="4"/>
      <c r="H2" s="7"/>
      <c r="I2" s="5"/>
      <c r="J2" s="5" t="s">
        <v>42</v>
      </c>
      <c r="K2" s="5"/>
      <c r="L2" s="4"/>
      <c r="M2" s="5"/>
      <c r="N2" s="8"/>
      <c r="O2" s="8"/>
    </row>
    <row r="3" ht="16" spans="1:15">
      <c r="A3" s="4"/>
      <c r="B3" s="5"/>
      <c r="C3" s="4"/>
      <c r="D3" s="5"/>
      <c r="E3" s="7"/>
      <c r="F3" s="4"/>
      <c r="G3" s="4"/>
      <c r="H3" s="7"/>
      <c r="I3" s="5"/>
      <c r="J3" s="5"/>
      <c r="K3" s="5"/>
      <c r="L3" s="5"/>
      <c r="M3" s="5"/>
      <c r="N3" s="8"/>
      <c r="O3" s="8"/>
    </row>
    <row r="4" ht="16" spans="1:15">
      <c r="A4" s="4"/>
      <c r="B4" s="5"/>
      <c r="C4" s="4"/>
      <c r="D4" s="5"/>
      <c r="E4" s="7"/>
      <c r="F4" s="4"/>
      <c r="G4" s="4"/>
      <c r="H4" s="7"/>
      <c r="I4" s="5"/>
      <c r="J4" s="5"/>
      <c r="K4" s="5"/>
      <c r="L4" s="5"/>
      <c r="M4" s="5"/>
      <c r="N4" s="8"/>
      <c r="O4" s="8"/>
    </row>
    <row r="5" ht="16" spans="1:15">
      <c r="A5" s="4"/>
      <c r="B5" s="5"/>
      <c r="C5" s="4"/>
      <c r="D5" s="5"/>
      <c r="E5" s="7"/>
      <c r="F5" s="4"/>
      <c r="G5" s="4"/>
      <c r="H5" s="7"/>
      <c r="I5" s="5"/>
      <c r="J5" s="5"/>
      <c r="K5" s="5"/>
      <c r="L5" s="5"/>
      <c r="M5" s="5"/>
      <c r="N5" s="8"/>
      <c r="O5" s="8"/>
    </row>
    <row r="6" ht="16" spans="1:15">
      <c r="A6" s="4"/>
      <c r="B6" s="5"/>
      <c r="C6" s="4"/>
      <c r="D6" s="5"/>
      <c r="E6" s="7"/>
      <c r="F6" s="4"/>
      <c r="G6" s="4"/>
      <c r="H6" s="7"/>
      <c r="I6" s="5"/>
      <c r="J6" s="5"/>
      <c r="K6" s="5"/>
      <c r="L6" s="5"/>
      <c r="M6" s="5"/>
      <c r="N6" s="8"/>
      <c r="O6" s="8"/>
    </row>
    <row r="7" ht="16" spans="1:15">
      <c r="A7" s="4"/>
      <c r="B7" s="5"/>
      <c r="C7" s="4"/>
      <c r="D7" s="5"/>
      <c r="E7" s="7"/>
      <c r="F7" s="4"/>
      <c r="G7" s="4"/>
      <c r="H7" s="7"/>
      <c r="I7" s="5"/>
      <c r="J7" s="5"/>
      <c r="K7" s="5"/>
      <c r="L7" s="5"/>
      <c r="M7" s="5"/>
      <c r="N7" s="8"/>
      <c r="O7" s="8"/>
    </row>
    <row r="8" ht="16" spans="1:15">
      <c r="A8" s="4"/>
      <c r="B8" s="5"/>
      <c r="C8" s="4"/>
      <c r="D8" s="5"/>
      <c r="E8" s="7"/>
      <c r="F8" s="4"/>
      <c r="G8" s="4"/>
      <c r="H8" s="7"/>
      <c r="I8" s="5"/>
      <c r="J8" s="5"/>
      <c r="K8" s="5"/>
      <c r="L8" s="5"/>
      <c r="M8" s="5"/>
      <c r="N8" s="8"/>
      <c r="O8" s="8"/>
    </row>
    <row r="9" ht="16" spans="1:15">
      <c r="A9" s="4"/>
      <c r="B9" s="5"/>
      <c r="C9" s="4"/>
      <c r="D9" s="5"/>
      <c r="E9" s="7"/>
      <c r="F9" s="4"/>
      <c r="G9" s="4"/>
      <c r="H9" s="7"/>
      <c r="I9" s="5"/>
      <c r="J9" s="5"/>
      <c r="K9" s="5"/>
      <c r="L9" s="5"/>
      <c r="M9" s="5"/>
      <c r="N9" s="8"/>
      <c r="O9" s="8"/>
    </row>
    <row r="10" ht="16" spans="1:15">
      <c r="A10" s="4"/>
      <c r="B10" s="5"/>
      <c r="C10" s="4"/>
      <c r="D10" s="5"/>
      <c r="E10" s="7"/>
      <c r="F10" s="4"/>
      <c r="G10" s="4"/>
      <c r="H10" s="7"/>
      <c r="I10" s="5"/>
      <c r="J10" s="5"/>
      <c r="K10" s="5"/>
      <c r="L10" s="4"/>
      <c r="M10" s="5"/>
      <c r="N10" s="8"/>
      <c r="O10" s="8"/>
    </row>
    <row r="11" ht="16" spans="1:15">
      <c r="A11" s="4"/>
      <c r="B11" s="5"/>
      <c r="C11" s="4"/>
      <c r="D11" s="5"/>
      <c r="E11" s="7"/>
      <c r="F11" s="4"/>
      <c r="G11" s="4"/>
      <c r="H11" s="7"/>
      <c r="I11" s="5"/>
      <c r="J11" s="5"/>
      <c r="K11" s="5"/>
      <c r="L11" s="5"/>
      <c r="M11" s="5"/>
      <c r="N11" s="8"/>
      <c r="O11" s="8"/>
    </row>
    <row r="12" ht="16" spans="1:15">
      <c r="A12" s="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6" spans="1:15">
      <c r="A13" s="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6" spans="1:15">
      <c r="A14" s="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6" spans="1:15">
      <c r="A15" s="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6" spans="1:15">
      <c r="A16" s="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6" spans="1:15">
      <c r="A17" s="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6" spans="1:15">
      <c r="A18" s="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6" spans="1:15">
      <c r="A19" s="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6" spans="1:15">
      <c r="A20" s="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1:1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</row>
    <row r="39" spans="1:1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pans="1:1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</row>
    <row r="43" spans="1:1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spans="1:1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</row>
    <row r="47" spans="1:1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</row>
    <row r="49" spans="1:1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</row>
    <row r="51" spans="1:1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1: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1:1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  <row r="57" spans="1:1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</row>
    <row r="59" spans="1:1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</row>
    <row r="61" spans="1:1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</sheetData>
  <conditionalFormatting sqref="G2:G100">
    <cfRule type="cellIs" dxfId="15" priority="1" operator="equal">
      <formula>"New"</formula>
    </cfRule>
    <cfRule type="cellIs" dxfId="16" priority="2" operator="equal">
      <formula>"Waiting for Logistics"</formula>
    </cfRule>
    <cfRule type="cellIs" dxfId="17" priority="3" operator="equal">
      <formula>"Waiting for Procurement"</formula>
    </cfRule>
    <cfRule type="cellIs" dxfId="18" priority="4" operator="equal">
      <formula>"Waiting for Transport"</formula>
    </cfRule>
    <cfRule type="cellIs" dxfId="19" priority="5" operator="equal">
      <formula>"In Progress"</formula>
    </cfRule>
    <cfRule type="cellIs" dxfId="20" priority="6" operator="equal">
      <formula>"Closed"</formula>
    </cfRule>
    <cfRule type="cellIs" dxfId="21" priority="7" operator="equal">
      <formula>"Overdue"</formula>
    </cfRule>
  </conditionalFormatting>
  <dataValidations count="2">
    <dataValidation type="list" allowBlank="1" sqref="F2:F100">
      <formula1>"Line 1,Line 2,Line 3,Line 4,Line 5"</formula1>
    </dataValidation>
    <dataValidation type="list" allowBlank="1" sqref="G2:G100">
      <formula1>"New,Waiting for Logistics,Waiting for Procurement,Waiting for Transport,In Progress,Closed,Overdue"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Dashboard</vt:lpstr>
      <vt:lpstr>Alerts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2026-09-10T11:02:00Z</dcterms:created>
  <dcterms:modified xsi:type="dcterms:W3CDTF">2026-09-10T16:29:44Z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582593E2DCD04AA980B50236B045A2B9_13</vt:lpwstr>
  </property>
  <property fmtid="{D5CDD505-2E9C-101B-9397-08002B2CF9AE}" pid="3" name="KSOProductBuildVer">
    <vt:lpwstr>1036-12.2.0.23196</vt:lpwstr>
  </property>
</Properties>
</file>